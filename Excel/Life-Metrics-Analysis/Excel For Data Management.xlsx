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ras\OneDrive\Desktop\ibt Bootcamp\week 2 Assignment\"/>
    </mc:Choice>
  </mc:AlternateContent>
  <xr:revisionPtr revIDLastSave="0" documentId="13_ncr:1_{1A087512-86B8-466B-BAC2-727D49F987A6}" xr6:coauthVersionLast="47" xr6:coauthVersionMax="47" xr10:uidLastSave="{00000000-0000-0000-0000-000000000000}"/>
  <bookViews>
    <workbookView xWindow="-108" yWindow="-108" windowWidth="23256" windowHeight="12456" activeTab="4" xr2:uid="{90578573-D81D-499A-AAF0-80DB5917560A}"/>
  </bookViews>
  <sheets>
    <sheet name="Sheet1" sheetId="11" r:id="rId1"/>
    <sheet name="Sheet2" sheetId="12" r:id="rId2"/>
    <sheet name="Sheet3" sheetId="13" r:id="rId3"/>
    <sheet name="Sample Wellness Dataset" sheetId="6" r:id="rId4"/>
    <sheet name="To Do" sheetId="10" r:id="rId5"/>
  </sheets>
  <definedNames>
    <definedName name="_xlnm._FilterDatabase" localSheetId="3" hidden="1">'Sample Wellness Dataset'!$A$1:$O$114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6" l="1"/>
  <c r="B49" i="6"/>
  <c r="B85" i="6"/>
  <c r="B94" i="6"/>
  <c r="B17" i="6"/>
  <c r="B98" i="6"/>
  <c r="B22" i="6"/>
  <c r="B102" i="6"/>
  <c r="B106" i="6"/>
  <c r="B6" i="6"/>
  <c r="B113" i="6"/>
  <c r="B12" i="6"/>
  <c r="B9" i="6"/>
  <c r="B10" i="6"/>
  <c r="B15" i="6"/>
  <c r="B21" i="6"/>
  <c r="B19" i="6"/>
  <c r="B20" i="6"/>
  <c r="B4" i="6"/>
  <c r="B7" i="6"/>
  <c r="B24" i="6"/>
  <c r="B27" i="6"/>
  <c r="B16" i="6"/>
  <c r="B8" i="6"/>
  <c r="B5" i="6"/>
  <c r="B14" i="6"/>
  <c r="B11" i="6"/>
  <c r="B13" i="6"/>
  <c r="B2" i="6"/>
  <c r="B23" i="6"/>
  <c r="B46" i="6"/>
  <c r="B40" i="6"/>
  <c r="B78" i="6"/>
  <c r="B95" i="6"/>
  <c r="B29" i="6"/>
  <c r="B103" i="6"/>
  <c r="B109" i="6"/>
  <c r="B112" i="6"/>
  <c r="B42" i="6"/>
  <c r="B44" i="6"/>
  <c r="B32" i="6"/>
  <c r="B36" i="6"/>
  <c r="B39" i="6"/>
  <c r="B43" i="6"/>
  <c r="B45" i="6"/>
  <c r="B41" i="6"/>
  <c r="B38" i="6"/>
  <c r="B31" i="6"/>
  <c r="B30" i="6"/>
  <c r="B37" i="6"/>
  <c r="B35" i="6"/>
  <c r="B47" i="6"/>
  <c r="B28" i="6"/>
  <c r="B33" i="6"/>
  <c r="B3" i="6"/>
  <c r="B34" i="6"/>
  <c r="B54" i="6"/>
  <c r="B84" i="6"/>
  <c r="B96" i="6"/>
  <c r="B99" i="6"/>
  <c r="B64" i="6"/>
  <c r="B105" i="6"/>
  <c r="B67" i="6"/>
  <c r="B108" i="6"/>
  <c r="B111" i="6"/>
  <c r="B59" i="6"/>
  <c r="B48" i="6"/>
  <c r="B50" i="6"/>
  <c r="B58" i="6"/>
  <c r="B66" i="6"/>
  <c r="B53" i="6"/>
  <c r="B51" i="6"/>
  <c r="B56" i="6"/>
  <c r="B70" i="6"/>
  <c r="B61" i="6"/>
  <c r="B55" i="6"/>
  <c r="B65" i="6"/>
  <c r="B68" i="6"/>
  <c r="B57" i="6"/>
  <c r="B60" i="6"/>
  <c r="B62" i="6"/>
  <c r="B69" i="6"/>
  <c r="B71" i="6"/>
  <c r="B63" i="6"/>
  <c r="B25" i="6"/>
  <c r="B76" i="6"/>
  <c r="B52" i="6"/>
  <c r="B91" i="6"/>
  <c r="B93" i="6"/>
  <c r="B97" i="6"/>
  <c r="B100" i="6"/>
  <c r="B101" i="6"/>
  <c r="B104" i="6"/>
  <c r="B107" i="6"/>
  <c r="B110" i="6"/>
  <c r="B114" i="6"/>
  <c r="B86" i="6"/>
  <c r="B75" i="6"/>
  <c r="B79" i="6"/>
  <c r="B77" i="6"/>
  <c r="B87" i="6"/>
  <c r="B81" i="6"/>
  <c r="B72" i="6"/>
  <c r="B82" i="6"/>
  <c r="B92" i="6"/>
  <c r="B89" i="6"/>
  <c r="B80" i="6"/>
  <c r="B74" i="6"/>
  <c r="B88" i="6"/>
  <c r="B73" i="6"/>
  <c r="B90" i="6"/>
  <c r="B83" i="6"/>
  <c r="B18" i="6"/>
  <c r="M26" i="6"/>
  <c r="M49" i="6"/>
  <c r="M85" i="6"/>
  <c r="M94" i="6"/>
  <c r="M17" i="6"/>
  <c r="M98" i="6"/>
  <c r="M22" i="6"/>
  <c r="M102" i="6"/>
  <c r="M106" i="6"/>
  <c r="M6" i="6"/>
  <c r="M113" i="6"/>
  <c r="M12" i="6"/>
  <c r="M9" i="6"/>
  <c r="M10" i="6"/>
  <c r="M15" i="6"/>
  <c r="M21" i="6"/>
  <c r="M19" i="6"/>
  <c r="M20" i="6"/>
  <c r="M4" i="6"/>
  <c r="M7" i="6"/>
  <c r="M24" i="6"/>
  <c r="M27" i="6"/>
  <c r="M16" i="6"/>
  <c r="M8" i="6"/>
  <c r="M5" i="6"/>
  <c r="M14" i="6"/>
  <c r="M11" i="6"/>
  <c r="M13" i="6"/>
  <c r="M2" i="6"/>
  <c r="M23" i="6"/>
  <c r="M46" i="6"/>
  <c r="M40" i="6"/>
  <c r="M78" i="6"/>
  <c r="M95" i="6"/>
  <c r="M29" i="6"/>
  <c r="M103" i="6"/>
  <c r="M109" i="6"/>
  <c r="M112" i="6"/>
  <c r="M42" i="6"/>
  <c r="M44" i="6"/>
  <c r="M32" i="6"/>
  <c r="M36" i="6"/>
  <c r="M39" i="6"/>
  <c r="M43" i="6"/>
  <c r="M45" i="6"/>
  <c r="M41" i="6"/>
  <c r="M38" i="6"/>
  <c r="M31" i="6"/>
  <c r="M30" i="6"/>
  <c r="M37" i="6"/>
  <c r="M35" i="6"/>
  <c r="M47" i="6"/>
  <c r="M28" i="6"/>
  <c r="M33" i="6"/>
  <c r="M3" i="6"/>
  <c r="M34" i="6"/>
  <c r="M54" i="6"/>
  <c r="M84" i="6"/>
  <c r="M96" i="6"/>
  <c r="M99" i="6"/>
  <c r="M64" i="6"/>
  <c r="M105" i="6"/>
  <c r="M67" i="6"/>
  <c r="M108" i="6"/>
  <c r="M111" i="6"/>
  <c r="M59" i="6"/>
  <c r="M48" i="6"/>
  <c r="M50" i="6"/>
  <c r="M58" i="6"/>
  <c r="M66" i="6"/>
  <c r="M53" i="6"/>
  <c r="M51" i="6"/>
  <c r="M56" i="6"/>
  <c r="M70" i="6"/>
  <c r="M61" i="6"/>
  <c r="M55" i="6"/>
  <c r="M65" i="6"/>
  <c r="M68" i="6"/>
  <c r="M57" i="6"/>
  <c r="M60" i="6"/>
  <c r="M62" i="6"/>
  <c r="M69" i="6"/>
  <c r="M71" i="6"/>
  <c r="M63" i="6"/>
  <c r="M25" i="6"/>
  <c r="M76" i="6"/>
  <c r="M52" i="6"/>
  <c r="M91" i="6"/>
  <c r="M93" i="6"/>
  <c r="M97" i="6"/>
  <c r="M100" i="6"/>
  <c r="M101" i="6"/>
  <c r="M104" i="6"/>
  <c r="M107" i="6"/>
  <c r="M110" i="6"/>
  <c r="M114" i="6"/>
  <c r="M86" i="6"/>
  <c r="M75" i="6"/>
  <c r="M79" i="6"/>
  <c r="M77" i="6"/>
  <c r="M87" i="6"/>
  <c r="M81" i="6"/>
  <c r="M72" i="6"/>
  <c r="M82" i="6"/>
  <c r="M92" i="6"/>
  <c r="M89" i="6"/>
  <c r="M80" i="6"/>
  <c r="M74" i="6"/>
  <c r="M88" i="6"/>
  <c r="M73" i="6"/>
  <c r="M90" i="6"/>
  <c r="M83" i="6"/>
  <c r="M18" i="6"/>
  <c r="N3" i="6"/>
  <c r="N6" i="6" l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<sst xmlns="http://schemas.openxmlformats.org/spreadsheetml/2006/main" count="761" uniqueCount="151">
  <si>
    <t>Date</t>
  </si>
  <si>
    <t>No</t>
  </si>
  <si>
    <t>Yes</t>
  </si>
  <si>
    <t>Activity</t>
  </si>
  <si>
    <t>Steps</t>
  </si>
  <si>
    <t>Minutes</t>
  </si>
  <si>
    <t>Water_Liters</t>
  </si>
  <si>
    <t>Sleep_Hours</t>
  </si>
  <si>
    <t>Sleep_Quality</t>
  </si>
  <si>
    <t>Mood</t>
  </si>
  <si>
    <t>Food_Type</t>
  </si>
  <si>
    <t>ScreenTime_Hours</t>
  </si>
  <si>
    <t>Journaled</t>
  </si>
  <si>
    <t>Running</t>
  </si>
  <si>
    <t>Excellent</t>
  </si>
  <si>
    <t>Sad</t>
  </si>
  <si>
    <t>Home Cooked</t>
  </si>
  <si>
    <t>Yoga</t>
  </si>
  <si>
    <t>Mixed</t>
  </si>
  <si>
    <t>Meditation</t>
  </si>
  <si>
    <t>Happy</t>
  </si>
  <si>
    <t>Healthy</t>
  </si>
  <si>
    <t>Walking</t>
  </si>
  <si>
    <t>Good</t>
  </si>
  <si>
    <t>FALSE</t>
  </si>
  <si>
    <t>Reading</t>
  </si>
  <si>
    <t>Average</t>
  </si>
  <si>
    <t>Relaxed</t>
  </si>
  <si>
    <t>Tired</t>
  </si>
  <si>
    <t>Fast Food</t>
  </si>
  <si>
    <t>Swimming</t>
  </si>
  <si>
    <t>Snacks</t>
  </si>
  <si>
    <t>Poor</t>
  </si>
  <si>
    <t>TRUE</t>
  </si>
  <si>
    <t>Cycling</t>
  </si>
  <si>
    <t>Gym Workout</t>
  </si>
  <si>
    <t>Calm</t>
  </si>
  <si>
    <t>Stressed</t>
  </si>
  <si>
    <t>Energetic</t>
  </si>
  <si>
    <t>Steps to Perform</t>
  </si>
  <si>
    <t>Fix column width and highlight headers</t>
  </si>
  <si>
    <t>Fix the date column for consistentcy
Final format should be: 01-Jan-2025</t>
  </si>
  <si>
    <t>Replace Blank values in Step column with 4000</t>
  </si>
  <si>
    <t>Find out the minimum water consumption in liters
using =MIN() formula</t>
  </si>
  <si>
    <t>Fill the blank values in the water_liters column with the 
minimum value you computed in the last step</t>
  </si>
  <si>
    <t>Create another column and use =TRIM() on screentime_hours column to remove any leading or trailing spaces (make sure to only keep the final column)</t>
  </si>
  <si>
    <t>Delete the notes column</t>
  </si>
  <si>
    <t>Fix the Journaled column: fill missing values and ensure non redundant values only</t>
  </si>
  <si>
    <t>You can fill out the blank values with "Unknown"</t>
  </si>
  <si>
    <t>Adjust precision to 2 decimal places</t>
  </si>
  <si>
    <t>Remove Rows where Journaled = "Unknown"</t>
  </si>
  <si>
    <t>Get the average performance score</t>
  </si>
  <si>
    <t>You can use AutoSum(Average) or simply the formula</t>
  </si>
  <si>
    <t>Apply conditional formatting to highlight cell values for sleep_hours column where sleep hours are less than or equals to 5</t>
  </si>
  <si>
    <t>Apply conditional formatting to highlight cell values for sleep_quality column where sleep quality is excellent</t>
  </si>
  <si>
    <t>Apply conditional formatting to top 5 performance scores and filter them</t>
  </si>
  <si>
    <t>Remove the filter when you are done</t>
  </si>
  <si>
    <t xml:space="preserve">Check </t>
  </si>
  <si>
    <t>Comments</t>
  </si>
  <si>
    <t>Extract the month from date column and sort the data by month first and then screentime</t>
  </si>
  <si>
    <t>Use =MONTH() to get the month number. 
Example Jan=1, Feb=2 and so on. You may need to
convert it to number data type.</t>
  </si>
  <si>
    <t>Phase 1</t>
  </si>
  <si>
    <t>Basic Formatting, Data Manipulation, Data Cleaning and Formulas</t>
  </si>
  <si>
    <t>Filters, Conditional Formatting and Sorting</t>
  </si>
  <si>
    <t>Make a pivot table and sumamrize sleep quality with its count</t>
  </si>
  <si>
    <t>Make another pivot table and find out the counts for every mood type</t>
  </si>
  <si>
    <t>Make another pivot table to show average steps over time</t>
  </si>
  <si>
    <t>Make and format the pie chart for the first pivot table data</t>
  </si>
  <si>
    <t>Make a labelled bar chart and format it for the second pivot table</t>
  </si>
  <si>
    <t>For the final pivot table make a line chart with weekly granularity</t>
  </si>
  <si>
    <t>Pivot Tables and Charts</t>
  </si>
  <si>
    <t>Pivot table 1</t>
  </si>
  <si>
    <t>Pivot table 2</t>
  </si>
  <si>
    <t>Pivot table 3</t>
  </si>
  <si>
    <r>
      <t xml:space="preserve">Create a new column called Performance using the following formula:
</t>
    </r>
    <r>
      <rPr>
        <i/>
        <sz val="11"/>
        <color theme="1"/>
        <rFont val="Aptos"/>
        <family val="2"/>
      </rPr>
      <t>Performance =(Steps/10000*0.4) + (Minutes/60*0.2) + (Sleep_Hours/8*0.2) + (Water_Liters/2*0.2)</t>
    </r>
  </si>
  <si>
    <t>Performance</t>
  </si>
  <si>
    <t>minimum water consumption</t>
  </si>
  <si>
    <t xml:space="preserve"> average performance score</t>
  </si>
  <si>
    <t>Month</t>
  </si>
  <si>
    <t>1.4</t>
  </si>
  <si>
    <t>1.8</t>
  </si>
  <si>
    <t>2</t>
  </si>
  <si>
    <t>2.4</t>
  </si>
  <si>
    <t>2.8</t>
  </si>
  <si>
    <t>2.9</t>
  </si>
  <si>
    <t>3.1</t>
  </si>
  <si>
    <t>3.5</t>
  </si>
  <si>
    <t>3.6</t>
  </si>
  <si>
    <t>4.5</t>
  </si>
  <si>
    <t>5</t>
  </si>
  <si>
    <t>5.2</t>
  </si>
  <si>
    <t>5.4</t>
  </si>
  <si>
    <t>5.7</t>
  </si>
  <si>
    <t>5.8</t>
  </si>
  <si>
    <t>6.6</t>
  </si>
  <si>
    <t>6.9</t>
  </si>
  <si>
    <t>7</t>
  </si>
  <si>
    <t>7.5</t>
  </si>
  <si>
    <t>7.6</t>
  </si>
  <si>
    <t>1.1</t>
  </si>
  <si>
    <t>1.3</t>
  </si>
  <si>
    <t>1.7</t>
  </si>
  <si>
    <t>3.3</t>
  </si>
  <si>
    <t>3.8</t>
  </si>
  <si>
    <t>3.9</t>
  </si>
  <si>
    <t>4.1</t>
  </si>
  <si>
    <t>4.2</t>
  </si>
  <si>
    <t>4.9</t>
  </si>
  <si>
    <t>5.9</t>
  </si>
  <si>
    <t>6</t>
  </si>
  <si>
    <t>6.2</t>
  </si>
  <si>
    <t>6.3</t>
  </si>
  <si>
    <t>6.7</t>
  </si>
  <si>
    <t>7.3</t>
  </si>
  <si>
    <t>7.8</t>
  </si>
  <si>
    <t>7.9</t>
  </si>
  <si>
    <t>3.2</t>
  </si>
  <si>
    <t>4.4</t>
  </si>
  <si>
    <t>5.1</t>
  </si>
  <si>
    <t>5.3</t>
  </si>
  <si>
    <t>6.5</t>
  </si>
  <si>
    <t>6.8</t>
  </si>
  <si>
    <t>7.4</t>
  </si>
  <si>
    <t>1</t>
  </si>
  <si>
    <t>1.6</t>
  </si>
  <si>
    <t>2.2</t>
  </si>
  <si>
    <t>3.7</t>
  </si>
  <si>
    <t>4.3</t>
  </si>
  <si>
    <t>4.6</t>
  </si>
  <si>
    <t>6.1</t>
  </si>
  <si>
    <t>7.2</t>
  </si>
  <si>
    <t>4.7</t>
  </si>
  <si>
    <t>5.5</t>
  </si>
  <si>
    <t>3.4</t>
  </si>
  <si>
    <t>Row Labels</t>
  </si>
  <si>
    <t>Grand Total</t>
  </si>
  <si>
    <t>Count of Sleep_Quality</t>
  </si>
  <si>
    <t>Count of Mood</t>
  </si>
  <si>
    <t>Average of Steps</t>
  </si>
  <si>
    <t>Mar</t>
  </si>
  <si>
    <t>Feb</t>
  </si>
  <si>
    <t>Sep</t>
  </si>
  <si>
    <t>Jan</t>
  </si>
  <si>
    <t>Dec</t>
  </si>
  <si>
    <t>May</t>
  </si>
  <si>
    <t>Apr</t>
  </si>
  <si>
    <t>Oct</t>
  </si>
  <si>
    <t>Aug</t>
  </si>
  <si>
    <t>Nov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</si>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</sst>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name val="Aptos Narrow"/>
      <family val="2"/>
      <scheme val="minor"/>
    </font>
    <font>
      <i/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top"/>
    </xf>
    <xf numFmtId="0" fontId="0" fillId="3" borderId="0" xfId="0" applyFill="1"/>
    <xf numFmtId="164" fontId="1" fillId="3" borderId="0" xfId="0" applyNumberFormat="1" applyFont="1" applyFill="1" applyAlignment="1">
      <alignment horizontal="left" vertical="top"/>
    </xf>
    <xf numFmtId="164" fontId="0" fillId="0" borderId="0" xfId="0" applyNumberFormat="1" applyAlignment="1">
      <alignment horizontal="left"/>
    </xf>
    <xf numFmtId="2" fontId="0" fillId="0" borderId="0" xfId="0" applyNumberFormat="1"/>
    <xf numFmtId="0" fontId="0" fillId="4" borderId="0" xfId="0" applyFill="1"/>
    <xf numFmtId="0" fontId="0" fillId="5" borderId="0" xfId="0" applyFill="1"/>
    <xf numFmtId="2" fontId="0" fillId="5" borderId="0" xfId="0" applyNumberFormat="1" applyFill="1"/>
    <xf numFmtId="0" fontId="0" fillId="0" borderId="0" xfId="0" applyAlignment="1">
      <alignment horizontal="left"/>
    </xf>
    <xf numFmtId="0" fontId="0" fillId="0" borderId="0" xfId="0" pivotButton="1"/>
    <xf numFmtId="1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D85D"/>
        </patternFill>
      </fill>
    </dxf>
    <dxf>
      <fill>
        <patternFill>
          <bgColor theme="6" tint="0.59996337778862885"/>
        </patternFill>
      </fill>
    </dxf>
    <dxf>
      <fill>
        <patternFill>
          <bgColor rgb="FFFF5050"/>
        </patternFill>
      </fill>
    </dxf>
    <dxf>
      <alignment horizontal="center"/>
    </dxf>
  </dxfs>
  <tableStyles count="0" defaultTableStyle="TableStyleMedium2" defaultPivotStyle="PivotStyleLight16"/>
  <colors>
    <mruColors>
      <color rgb="FFFFD85D"/>
      <color rgb="FFFF5050"/>
      <color rgb="FFDB6B7B"/>
      <color rgb="FFEDB4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For Data Management.xlsx]Sheet1!PivotTable1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031-406E-B1F6-50A7AEFC012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031-406E-B1F6-50A7AEFC012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031-406E-B1F6-50A7AEFC012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031-406E-B1F6-50A7AEFC01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20</c:v>
                </c:pt>
                <c:pt idx="1">
                  <c:v>21</c:v>
                </c:pt>
                <c:pt idx="2">
                  <c:v>36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E-4EEE-84B2-FB29B595147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For Data Management.xlsx]Sheet2!PivotTable2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Calm</c:v>
                </c:pt>
                <c:pt idx="1">
                  <c:v>Energetic</c:v>
                </c:pt>
                <c:pt idx="2">
                  <c:v>Happy</c:v>
                </c:pt>
                <c:pt idx="3">
                  <c:v>Relaxed</c:v>
                </c:pt>
                <c:pt idx="4">
                  <c:v>Sad</c:v>
                </c:pt>
                <c:pt idx="5">
                  <c:v>Stressed</c:v>
                </c:pt>
                <c:pt idx="6">
                  <c:v>Tired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15</c:v>
                </c:pt>
                <c:pt idx="1">
                  <c:v>17</c:v>
                </c:pt>
                <c:pt idx="2">
                  <c:v>18</c:v>
                </c:pt>
                <c:pt idx="3">
                  <c:v>17</c:v>
                </c:pt>
                <c:pt idx="4">
                  <c:v>21</c:v>
                </c:pt>
                <c:pt idx="5">
                  <c:v>12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F-48B4-864D-7E5A759B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421951"/>
        <c:axId val="1664419071"/>
      </c:barChart>
      <c:catAx>
        <c:axId val="166442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419071"/>
        <c:crosses val="autoZero"/>
        <c:auto val="1"/>
        <c:lblAlgn val="ctr"/>
        <c:lblOffset val="100"/>
        <c:noMultiLvlLbl val="0"/>
      </c:catAx>
      <c:valAx>
        <c:axId val="166441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42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 For Data Management.xlsx]Sheet3!PivotTable3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0</c:formatCode>
                <c:ptCount val="12"/>
                <c:pt idx="0">
                  <c:v>7524.1923076923076</c:v>
                </c:pt>
                <c:pt idx="1">
                  <c:v>7863.3</c:v>
                </c:pt>
                <c:pt idx="2">
                  <c:v>8948.2083333333339</c:v>
                </c:pt>
                <c:pt idx="3">
                  <c:v>8230.7142857142862</c:v>
                </c:pt>
                <c:pt idx="4">
                  <c:v>8951</c:v>
                </c:pt>
                <c:pt idx="5">
                  <c:v>11346</c:v>
                </c:pt>
                <c:pt idx="6">
                  <c:v>13011.666666666666</c:v>
                </c:pt>
                <c:pt idx="7">
                  <c:v>5175</c:v>
                </c:pt>
                <c:pt idx="8">
                  <c:v>6674</c:v>
                </c:pt>
                <c:pt idx="9">
                  <c:v>4302</c:v>
                </c:pt>
                <c:pt idx="10">
                  <c:v>11126.333333333334</c:v>
                </c:pt>
                <c:pt idx="11">
                  <c:v>6697.5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4C-4F82-9A01-C17BF9C2B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832991"/>
        <c:axId val="1530833471"/>
      </c:lineChart>
      <c:catAx>
        <c:axId val="153083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833471"/>
        <c:crosses val="autoZero"/>
        <c:auto val="1"/>
        <c:lblAlgn val="ctr"/>
        <c:lblOffset val="100"/>
        <c:noMultiLvlLbl val="0"/>
      </c:catAx>
      <c:valAx>
        <c:axId val="153083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83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2</xdr:row>
      <xdr:rowOff>7620</xdr:rowOff>
    </xdr:from>
    <xdr:to>
      <xdr:col>9</xdr:col>
      <xdr:colOff>266700</xdr:colOff>
      <xdr:row>15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F3830C-5D52-EC69-74B8-4D6BF4E58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1</xdr:row>
      <xdr:rowOff>163830</xdr:rowOff>
    </xdr:from>
    <xdr:to>
      <xdr:col>9</xdr:col>
      <xdr:colOff>106680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6FDCA1-4B17-49DD-03A6-8935C74B5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2</xdr:row>
      <xdr:rowOff>3810</xdr:rowOff>
    </xdr:from>
    <xdr:to>
      <xdr:col>9</xdr:col>
      <xdr:colOff>312420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0541C-2FF9-59F5-8564-B3F933A8F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 sammour" refreshedDate="46038.332515972223" createdVersion="8" refreshedVersion="8" minRefreshableVersion="3" recordCount="113" xr:uid="{185D7D78-DA2E-42B1-9142-B53AEA691FF0}">
  <cacheSource type="worksheet">
    <worksheetSource ref="A1:M114" sheet="Sample Wellness Dataset"/>
  </cacheSource>
  <cacheFields count="15">
    <cacheField name="Date" numFmtId="164">
      <sharedItems containsSemiMixedTypes="0" containsNonDate="0" containsDate="1" containsString="0" minDate="2025-01-01T00:00:00" maxDate="2025-12-05T00:00:00" count="110">
        <d v="2025-01-31T00:00:00"/>
        <d v="2025-01-03T00:00:00"/>
        <d v="2025-01-20T00:00:00"/>
        <d v="2025-01-26T00:00:00"/>
        <d v="2025-01-11T00:00:00"/>
        <d v="2025-01-21T00:00:00"/>
        <d v="2025-01-25T00:00:00"/>
        <d v="2025-01-14T00:00:00"/>
        <d v="2025-01-15T00:00:00"/>
        <d v="2025-01-28T00:00:00"/>
        <d v="2025-01-13T00:00:00"/>
        <d v="2025-01-29T00:00:00"/>
        <d v="2025-01-27T00:00:00"/>
        <d v="2025-01-16T00:00:00"/>
        <d v="2025-01-24T00:00:00"/>
        <d v="2025-01-06T00:00:00"/>
        <d v="2025-01-01T00:00:00"/>
        <d v="2025-01-18T00:00:00"/>
        <d v="2025-01-19T00:00:00"/>
        <d v="2025-01-17T00:00:00"/>
        <d v="2025-01-08T00:00:00"/>
        <d v="2025-01-02T00:00:00"/>
        <d v="2025-01-22T00:00:00"/>
        <d v="2025-01-04T00:00:00"/>
        <d v="2025-01-23T00:00:00"/>
        <d v="2025-02-27T00:00:00"/>
        <d v="2025-02-06T00:00:00"/>
        <d v="2025-02-23T00:00:00"/>
        <d v="2025-02-22T00:00:00"/>
        <d v="2025-02-15T00:00:00"/>
        <d v="2025-02-28T00:00:00"/>
        <d v="2025-02-03T00:00:00"/>
        <d v="2025-02-25T00:00:00"/>
        <d v="2025-02-16T00:00:00"/>
        <d v="2025-02-24T00:00:00"/>
        <d v="2025-02-21T00:00:00"/>
        <d v="2025-02-17T00:00:00"/>
        <d v="2025-02-20T00:00:00"/>
        <d v="2025-02-13T00:00:00"/>
        <d v="2025-02-18T00:00:00"/>
        <d v="2025-02-14T00:00:00"/>
        <d v="2025-02-19T00:00:00"/>
        <d v="2025-02-02T00:00:00"/>
        <d v="2025-02-26T00:00:00"/>
        <d v="2025-03-14T00:00:00"/>
        <d v="2025-03-01T00:00:00"/>
        <d v="2025-03-15T00:00:00"/>
        <d v="2025-03-19T00:00:00"/>
        <d v="2025-03-04T00:00:00"/>
        <d v="2025-03-18T00:00:00"/>
        <d v="2025-03-03T00:00:00"/>
        <d v="2025-03-23T00:00:00"/>
        <d v="2025-03-20T00:00:00"/>
        <d v="2025-03-26T00:00:00"/>
        <d v="2025-03-16T00:00:00"/>
        <d v="2025-03-13T00:00:00"/>
        <d v="2025-03-27T00:00:00"/>
        <d v="2025-03-22T00:00:00"/>
        <d v="2025-03-28T00:00:00"/>
        <d v="2025-03-31T00:00:00"/>
        <d v="2025-03-08T00:00:00"/>
        <d v="2025-03-24T00:00:00"/>
        <d v="2025-03-17T00:00:00"/>
        <d v="2025-03-10T00:00:00"/>
        <d v="2025-03-25T00:00:00"/>
        <d v="2025-03-29T00:00:00"/>
        <d v="2025-03-21T00:00:00"/>
        <d v="2025-03-30T00:00:00"/>
        <d v="2025-04-19T00:00:00"/>
        <d v="2025-04-28T00:00:00"/>
        <d v="2025-04-26T00:00:00"/>
        <d v="2025-04-14T00:00:00"/>
        <d v="2025-04-02T00:00:00"/>
        <d v="2025-04-16T00:00:00"/>
        <d v="2025-04-15T00:00:00"/>
        <d v="2025-04-24T00:00:00"/>
        <d v="2025-04-18T00:00:00"/>
        <d v="2025-04-20T00:00:00"/>
        <d v="2025-04-30T00:00:00"/>
        <d v="2025-04-03T00:00:00"/>
        <d v="2025-04-01T00:00:00"/>
        <d v="2025-04-13T00:00:00"/>
        <d v="2025-04-17T00:00:00"/>
        <d v="2025-04-27T00:00:00"/>
        <d v="2025-04-23T00:00:00"/>
        <d v="2025-04-29T00:00:00"/>
        <d v="2025-04-04T00:00:00"/>
        <d v="2025-04-22T00:00:00"/>
        <d v="2025-05-04T00:00:00"/>
        <d v="2025-05-01T00:00:00"/>
        <d v="2025-05-02T00:00:00"/>
        <d v="2025-06-03T00:00:00"/>
        <d v="2025-06-04T00:00:00"/>
        <d v="2025-07-01T00:00:00"/>
        <d v="2025-07-03T00:00:00"/>
        <d v="2025-07-04T00:00:00"/>
        <d v="2025-08-04T00:00:00"/>
        <d v="2025-09-01T00:00:00"/>
        <d v="2025-09-02T00:00:00"/>
        <d v="2025-09-04T00:00:00"/>
        <d v="2025-09-03T00:00:00"/>
        <d v="2025-10-01T00:00:00"/>
        <d v="2025-10-04T00:00:00"/>
        <d v="2025-11-03T00:00:00"/>
        <d v="2025-11-02T00:00:00"/>
        <d v="2025-11-04T00:00:00"/>
        <d v="2025-12-03T00:00:00"/>
        <d v="2025-12-02T00:00:00"/>
        <d v="2025-12-01T00:00:00"/>
        <d v="2025-12-04T00:00:00"/>
      </sharedItems>
      <fieldGroup par="14"/>
    </cacheField>
    <cacheField name="Month" numFmtId="0">
      <sharedItems containsSemiMixedTypes="0" containsString="0" containsNumber="1" containsInteger="1" minValue="1" maxValue="12"/>
    </cacheField>
    <cacheField name="Activity" numFmtId="0">
      <sharedItems/>
    </cacheField>
    <cacheField name="Steps" numFmtId="0">
      <sharedItems containsSemiMixedTypes="0" containsString="0" containsNumber="1" containsInteger="1" minValue="1577" maxValue="14929" count="105">
        <n v="4000"/>
        <n v="6044"/>
        <n v="4476"/>
        <n v="6393"/>
        <n v="12382"/>
        <n v="7787"/>
        <n v="12427"/>
        <n v="7030"/>
        <n v="6588"/>
        <n v="11414"/>
        <n v="4233"/>
        <n v="10935"/>
        <n v="3353"/>
        <n v="2456"/>
        <n v="9055"/>
        <n v="8770"/>
        <n v="12947"/>
        <n v="13089"/>
        <n v="2354"/>
        <n v="6359"/>
        <n v="5646"/>
        <n v="8900"/>
        <n v="9470"/>
        <n v="9822"/>
        <n v="5699"/>
        <n v="5500"/>
        <n v="14784"/>
        <n v="2853"/>
        <n v="13204"/>
        <n v="6986"/>
        <n v="8690"/>
        <n v="12648"/>
        <n v="6661"/>
        <n v="2039"/>
        <n v="4039"/>
        <n v="8579"/>
        <n v="8119"/>
        <n v="13824"/>
        <n v="12078"/>
        <n v="2198"/>
        <n v="8088"/>
        <n v="12352"/>
        <n v="6624"/>
        <n v="12054"/>
        <n v="12596"/>
        <n v="12089"/>
        <n v="8541"/>
        <n v="7088"/>
        <n v="11265"/>
        <n v="6030"/>
        <n v="7484"/>
        <n v="10810"/>
        <n v="14929"/>
        <n v="13862"/>
        <n v="11185"/>
        <n v="5256"/>
        <n v="1577"/>
        <n v="12897"/>
        <n v="4572"/>
        <n v="3893"/>
        <n v="9889"/>
        <n v="7816"/>
        <n v="14261"/>
        <n v="3704"/>
        <n v="12422"/>
        <n v="4891"/>
        <n v="5888"/>
        <n v="5310"/>
        <n v="7296"/>
        <n v="14550"/>
        <n v="4366"/>
        <n v="9808"/>
        <n v="7636"/>
        <n v="9480"/>
        <n v="8601"/>
        <n v="8460"/>
        <n v="9327"/>
        <n v="5761"/>
        <n v="8309"/>
        <n v="8569"/>
        <n v="14514"/>
        <n v="13760"/>
        <n v="12904"/>
        <n v="6306"/>
        <n v="3565"/>
        <n v="9013"/>
        <n v="14275"/>
        <n v="8850"/>
        <n v="13842"/>
        <n v="14603"/>
        <n v="11661"/>
        <n v="12771"/>
        <n v="5175"/>
        <n v="6758"/>
        <n v="13238"/>
        <n v="2322"/>
        <n v="4378"/>
        <n v="4604"/>
        <n v="7370"/>
        <n v="11317"/>
        <n v="14692"/>
        <n v="7729"/>
        <n v="10367"/>
        <n v="2363"/>
        <n v="6331"/>
      </sharedItems>
    </cacheField>
    <cacheField name="Minutes" numFmtId="0">
      <sharedItems containsSemiMixedTypes="0" containsString="0" containsNumber="1" containsInteger="1" minValue="10" maxValue="118"/>
    </cacheField>
    <cacheField name="Water_Liters" numFmtId="0">
      <sharedItems containsSemiMixedTypes="0" containsString="0" containsNumber="1" minValue="0.5" maxValue="3.4"/>
    </cacheField>
    <cacheField name="Sleep_Hours" numFmtId="0">
      <sharedItems containsSemiMixedTypes="0" containsString="0" containsNumber="1" minValue="4.0999999999999996" maxValue="8.9"/>
    </cacheField>
    <cacheField name="Sleep_Quality" numFmtId="0">
      <sharedItems count="4">
        <s v="Average"/>
        <s v="Poor"/>
        <s v="Good"/>
        <s v="Excellent"/>
      </sharedItems>
    </cacheField>
    <cacheField name="Mood" numFmtId="0">
      <sharedItems count="7">
        <s v="Stressed"/>
        <s v="Relaxed"/>
        <s v="Happy"/>
        <s v="Energetic"/>
        <s v="Calm"/>
        <s v="Sad"/>
        <s v="Tired"/>
      </sharedItems>
    </cacheField>
    <cacheField name="Food_Type" numFmtId="0">
      <sharedItems/>
    </cacheField>
    <cacheField name="ScreenTime_Hours" numFmtId="0">
      <sharedItems/>
    </cacheField>
    <cacheField name="Journaled" numFmtId="0">
      <sharedItems/>
    </cacheField>
    <cacheField name="Performance" numFmtId="2">
      <sharedItems containsSemiMixedTypes="0" containsString="0" containsNumber="1" minValue="0.43822666666666671" maxValue="1.3818466666666669"/>
    </cacheField>
    <cacheField name="Days (Date)" numFmtId="0" databaseField="0">
      <fieldGroup base="0">
        <rangePr groupBy="days" startDate="2025-01-01T00:00:00" endDate="2025-12-05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5/2025"/>
        </groupItems>
      </fieldGroup>
    </cacheField>
    <cacheField name="Months (Date)" numFmtId="0" databaseField="0">
      <fieldGroup base="0">
        <rangePr groupBy="months" startDate="2025-01-01T00:00:00" endDate="2025-12-05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x v="0"/>
    <n v="1"/>
    <s v="Cycling"/>
    <x v="0"/>
    <n v="74"/>
    <n v="0.7"/>
    <n v="6"/>
    <x v="0"/>
    <x v="0"/>
    <s v="Home Cooked"/>
    <s v="1.4"/>
    <s v="FALSE"/>
    <n v="0.62666666666666671"/>
  </r>
  <r>
    <x v="1"/>
    <n v="1"/>
    <s v="Walking"/>
    <x v="1"/>
    <n v="113"/>
    <n v="2.4"/>
    <n v="5.8"/>
    <x v="1"/>
    <x v="1"/>
    <s v="Fast Food"/>
    <s v="1.8"/>
    <s v="TRUE"/>
    <n v="1.0034266666666667"/>
  </r>
  <r>
    <x v="2"/>
    <n v="1"/>
    <s v="Yoga"/>
    <x v="2"/>
    <n v="49"/>
    <n v="1.7"/>
    <n v="8.6999999999999993"/>
    <x v="1"/>
    <x v="2"/>
    <s v="Healthy"/>
    <s v="2"/>
    <s v="Yes"/>
    <n v="0.72987333333333337"/>
  </r>
  <r>
    <x v="3"/>
    <n v="1"/>
    <s v="Swimming"/>
    <x v="3"/>
    <n v="106"/>
    <n v="0.5"/>
    <n v="6.5"/>
    <x v="2"/>
    <x v="3"/>
    <s v="Mixed"/>
    <s v="2.4"/>
    <s v="Yes"/>
    <n v="0.82155333333333336"/>
  </r>
  <r>
    <x v="4"/>
    <n v="1"/>
    <s v="Cycling"/>
    <x v="4"/>
    <n v="10"/>
    <n v="2.7"/>
    <n v="5.2"/>
    <x v="0"/>
    <x v="2"/>
    <s v="Fast Food"/>
    <s v="2.8"/>
    <s v="Yes"/>
    <n v="0.9286133333333334"/>
  </r>
  <r>
    <x v="5"/>
    <n v="1"/>
    <s v="Yoga"/>
    <x v="5"/>
    <n v="99"/>
    <n v="3.4"/>
    <n v="6.6"/>
    <x v="1"/>
    <x v="3"/>
    <s v="Healthy"/>
    <s v="2.8"/>
    <s v="FALSE"/>
    <n v="1.1464800000000002"/>
  </r>
  <r>
    <x v="6"/>
    <n v="1"/>
    <s v="Running"/>
    <x v="6"/>
    <n v="85"/>
    <n v="2"/>
    <n v="7.2"/>
    <x v="0"/>
    <x v="1"/>
    <s v="Mixed"/>
    <s v="2.8"/>
    <s v="No"/>
    <n v="1.1604133333333335"/>
  </r>
  <r>
    <x v="7"/>
    <n v="1"/>
    <s v="Yoga"/>
    <x v="0"/>
    <n v="101"/>
    <n v="1.6"/>
    <n v="8.5"/>
    <x v="2"/>
    <x v="4"/>
    <s v="Snacks"/>
    <s v="2.9"/>
    <s v="FALSE"/>
    <n v="0.86916666666666675"/>
  </r>
  <r>
    <x v="8"/>
    <n v="1"/>
    <s v="Cycling"/>
    <x v="7"/>
    <n v="18"/>
    <n v="2"/>
    <n v="7.5"/>
    <x v="0"/>
    <x v="1"/>
    <s v="Healthy"/>
    <s v="2.9"/>
    <s v="No"/>
    <n v="0.7286999999999999"/>
  </r>
  <r>
    <x v="9"/>
    <n v="1"/>
    <s v="Gym Workout"/>
    <x v="8"/>
    <n v="72"/>
    <n v="1.4"/>
    <n v="5"/>
    <x v="2"/>
    <x v="2"/>
    <s v="Fast Food"/>
    <s v="2.9"/>
    <s v="Yes"/>
    <n v="0.76851999999999998"/>
  </r>
  <r>
    <x v="10"/>
    <n v="1"/>
    <s v="Swimming"/>
    <x v="9"/>
    <n v="95"/>
    <n v="3.1"/>
    <n v="7.1"/>
    <x v="2"/>
    <x v="5"/>
    <s v="Home Cooked"/>
    <s v="3.1"/>
    <s v="Yes"/>
    <n v="1.2607266666666668"/>
  </r>
  <r>
    <x v="11"/>
    <n v="1"/>
    <s v="Reading"/>
    <x v="10"/>
    <n v="33"/>
    <n v="1.1000000000000001"/>
    <n v="7.4"/>
    <x v="3"/>
    <x v="1"/>
    <s v="Mixed"/>
    <s v="3.5"/>
    <s v="No"/>
    <n v="0.57432000000000005"/>
  </r>
  <r>
    <x v="12"/>
    <n v="1"/>
    <s v="Swimming"/>
    <x v="11"/>
    <n v="39"/>
    <n v="3.4"/>
    <n v="8.6"/>
    <x v="1"/>
    <x v="2"/>
    <s v="Healthy"/>
    <s v="3.6"/>
    <s v="TRUE"/>
    <n v="1.1224000000000001"/>
  </r>
  <r>
    <x v="13"/>
    <n v="1"/>
    <s v="Walking"/>
    <x v="12"/>
    <n v="67"/>
    <n v="0.5"/>
    <n v="5.3"/>
    <x v="2"/>
    <x v="0"/>
    <s v="Home Cooked"/>
    <s v="4.5"/>
    <s v="Yes"/>
    <n v="0.5399533333333334"/>
  </r>
  <r>
    <x v="14"/>
    <n v="1"/>
    <s v="Reading"/>
    <x v="13"/>
    <n v="50"/>
    <n v="1"/>
    <n v="4.0999999999999996"/>
    <x v="3"/>
    <x v="5"/>
    <s v="Home Cooked"/>
    <s v="4.5"/>
    <s v="No"/>
    <n v="0.46740666666666664"/>
  </r>
  <r>
    <x v="15"/>
    <n v="1"/>
    <s v="Meditation"/>
    <x v="14"/>
    <n v="11"/>
    <n v="1.8"/>
    <n v="5"/>
    <x v="0"/>
    <x v="6"/>
    <s v="Fast Food"/>
    <s v="5"/>
    <s v="No"/>
    <n v="0.70386666666666675"/>
  </r>
  <r>
    <x v="16"/>
    <n v="1"/>
    <s v="Running"/>
    <x v="15"/>
    <n v="61"/>
    <n v="0.5"/>
    <n v="7.7"/>
    <x v="3"/>
    <x v="5"/>
    <s v="Home Cooked"/>
    <s v="5.2"/>
    <s v="No"/>
    <n v="0.79663333333333342"/>
  </r>
  <r>
    <x v="17"/>
    <n v="1"/>
    <s v="Reading"/>
    <x v="16"/>
    <n v="26"/>
    <n v="2.7"/>
    <n v="5.8"/>
    <x v="2"/>
    <x v="6"/>
    <s v="Fast Food"/>
    <s v="5.4"/>
    <s v="No"/>
    <n v="1.0195466666666668"/>
  </r>
  <r>
    <x v="18"/>
    <n v="1"/>
    <s v="Gym Workout"/>
    <x v="17"/>
    <n v="89"/>
    <n v="0.6"/>
    <n v="7"/>
    <x v="1"/>
    <x v="3"/>
    <s v="Snacks"/>
    <s v="5.7"/>
    <s v="TRUE"/>
    <n v="1.0552266666666668"/>
  </r>
  <r>
    <x v="19"/>
    <n v="1"/>
    <s v="Swimming"/>
    <x v="18"/>
    <n v="110"/>
    <n v="1.5"/>
    <n v="7.2"/>
    <x v="2"/>
    <x v="5"/>
    <s v="Snacks"/>
    <s v="5.8"/>
    <s v="FALSE"/>
    <n v="0.79082666666666679"/>
  </r>
  <r>
    <x v="20"/>
    <n v="1"/>
    <s v="Swimming"/>
    <x v="19"/>
    <n v="69"/>
    <n v="2.1"/>
    <n v="4.7"/>
    <x v="0"/>
    <x v="1"/>
    <s v="Healthy"/>
    <s v="6.6"/>
    <s v="FALSE"/>
    <n v="0.81186000000000003"/>
  </r>
  <r>
    <x v="21"/>
    <n v="1"/>
    <s v="Reading"/>
    <x v="20"/>
    <n v="34"/>
    <n v="0.5"/>
    <n v="8.9"/>
    <x v="3"/>
    <x v="4"/>
    <s v="Fast Food"/>
    <s v="6.9"/>
    <s v="Yes"/>
    <n v="0.6116733333333334"/>
  </r>
  <r>
    <x v="22"/>
    <n v="1"/>
    <s v="Reading"/>
    <x v="21"/>
    <n v="108"/>
    <n v="2.6"/>
    <n v="8.1999999999999993"/>
    <x v="2"/>
    <x v="3"/>
    <s v="Healthy"/>
    <s v="7"/>
    <s v="Yes"/>
    <n v="1.181"/>
  </r>
  <r>
    <x v="23"/>
    <n v="1"/>
    <s v="Reading"/>
    <x v="22"/>
    <n v="72"/>
    <n v="1.7"/>
    <n v="8.3000000000000007"/>
    <x v="2"/>
    <x v="6"/>
    <s v="Snacks"/>
    <s v="7.5"/>
    <s v="Yes"/>
    <n v="0.99630000000000007"/>
  </r>
  <r>
    <x v="21"/>
    <n v="1"/>
    <s v="Yoga"/>
    <x v="23"/>
    <n v="31"/>
    <n v="0.7"/>
    <n v="7.6"/>
    <x v="3"/>
    <x v="5"/>
    <s v="Mixed"/>
    <s v="7.6"/>
    <s v="Yes"/>
    <n v="0.75621333333333329"/>
  </r>
  <r>
    <x v="24"/>
    <n v="1"/>
    <s v="Gym Workout"/>
    <x v="24"/>
    <n v="93"/>
    <n v="2.2000000000000002"/>
    <n v="5.9"/>
    <x v="2"/>
    <x v="2"/>
    <s v="Home Cooked"/>
    <s v="7.6"/>
    <s v="FALSE"/>
    <n v="0.90545999999999993"/>
  </r>
  <r>
    <x v="25"/>
    <n v="2"/>
    <s v="Swimming"/>
    <x v="25"/>
    <n v="107"/>
    <n v="0.6"/>
    <n v="4.7"/>
    <x v="2"/>
    <x v="5"/>
    <s v="Home Cooked"/>
    <s v="1.1"/>
    <s v="FALSE"/>
    <n v="0.75416666666666665"/>
  </r>
  <r>
    <x v="26"/>
    <n v="2"/>
    <s v="Running"/>
    <x v="26"/>
    <n v="95"/>
    <n v="0.5"/>
    <n v="4.5999999999999996"/>
    <x v="3"/>
    <x v="5"/>
    <s v="Snacks"/>
    <s v="1.3"/>
    <s v="TRUE"/>
    <n v="1.0730266666666666"/>
  </r>
  <r>
    <x v="27"/>
    <n v="2"/>
    <s v="Swimming"/>
    <x v="27"/>
    <n v="105"/>
    <n v="0.7"/>
    <n v="6"/>
    <x v="2"/>
    <x v="4"/>
    <s v="Home Cooked"/>
    <s v="1.7"/>
    <s v="TRUE"/>
    <n v="0.68411999999999995"/>
  </r>
  <r>
    <x v="28"/>
    <n v="2"/>
    <s v="Running"/>
    <x v="28"/>
    <n v="27"/>
    <n v="1"/>
    <n v="5.0999999999999996"/>
    <x v="2"/>
    <x v="3"/>
    <s v="Fast Food"/>
    <s v="3.1"/>
    <s v="TRUE"/>
    <n v="0.84565999999999997"/>
  </r>
  <r>
    <x v="29"/>
    <n v="2"/>
    <s v="Cycling"/>
    <x v="29"/>
    <n v="25"/>
    <n v="1.8"/>
    <n v="5.5"/>
    <x v="0"/>
    <x v="4"/>
    <s v="Healthy"/>
    <s v="3.3"/>
    <s v="Yes"/>
    <n v="0.6802733333333334"/>
  </r>
  <r>
    <x v="30"/>
    <n v="2"/>
    <s v="Walking"/>
    <x v="30"/>
    <n v="110"/>
    <n v="2.7"/>
    <n v="7.8"/>
    <x v="2"/>
    <x v="5"/>
    <s v="Snacks"/>
    <s v="3.6"/>
    <s v="TRUE"/>
    <n v="1.1792666666666667"/>
  </r>
  <r>
    <x v="31"/>
    <n v="2"/>
    <s v="Reading"/>
    <x v="0"/>
    <n v="117"/>
    <n v="2.2000000000000002"/>
    <n v="8.4"/>
    <x v="1"/>
    <x v="3"/>
    <s v="Healthy"/>
    <s v="3.8"/>
    <s v="Yes"/>
    <n v="0.98"/>
  </r>
  <r>
    <x v="32"/>
    <n v="2"/>
    <s v="Gym Workout"/>
    <x v="31"/>
    <n v="55"/>
    <n v="0.7"/>
    <n v="8.6999999999999993"/>
    <x v="2"/>
    <x v="4"/>
    <s v="Home Cooked"/>
    <s v="3.9"/>
    <s v="Yes"/>
    <n v="0.97675333333333336"/>
  </r>
  <r>
    <x v="33"/>
    <n v="2"/>
    <s v="Swimming"/>
    <x v="32"/>
    <n v="67"/>
    <n v="0.7"/>
    <n v="6.7"/>
    <x v="2"/>
    <x v="2"/>
    <s v="Mixed"/>
    <s v="4.1"/>
    <s v="FALSE"/>
    <n v="0.72727333333333333"/>
  </r>
  <r>
    <x v="34"/>
    <n v="2"/>
    <s v="Reading"/>
    <x v="33"/>
    <n v="101"/>
    <n v="1.6"/>
    <n v="5.3"/>
    <x v="0"/>
    <x v="3"/>
    <s v="Mixed"/>
    <s v="4.2"/>
    <s v="Yes"/>
    <n v="0.71072666666666673"/>
  </r>
  <r>
    <x v="35"/>
    <n v="2"/>
    <s v="Gym Workout"/>
    <x v="0"/>
    <n v="15"/>
    <n v="2.9"/>
    <n v="8.9"/>
    <x v="1"/>
    <x v="6"/>
    <s v="Healthy"/>
    <s v="4.9"/>
    <s v="Yes"/>
    <n v="0.72250000000000003"/>
  </r>
  <r>
    <x v="36"/>
    <n v="2"/>
    <s v="Yoga"/>
    <x v="34"/>
    <n v="26"/>
    <n v="0.8"/>
    <n v="4.4000000000000004"/>
    <x v="2"/>
    <x v="3"/>
    <s v="Healthy"/>
    <s v="5.9"/>
    <s v="No"/>
    <n v="0.43822666666666671"/>
  </r>
  <r>
    <x v="31"/>
    <n v="2"/>
    <s v="Walking"/>
    <x v="35"/>
    <n v="61"/>
    <n v="0.9"/>
    <n v="8.8000000000000007"/>
    <x v="2"/>
    <x v="2"/>
    <s v="Healthy"/>
    <s v="6"/>
    <s v="TRUE"/>
    <n v="0.85649333333333344"/>
  </r>
  <r>
    <x v="37"/>
    <n v="2"/>
    <s v="Cycling"/>
    <x v="36"/>
    <n v="81"/>
    <n v="0.9"/>
    <n v="7.2"/>
    <x v="0"/>
    <x v="4"/>
    <s v="Home Cooked"/>
    <s v="6.2"/>
    <s v="FALSE"/>
    <n v="0.86475999999999997"/>
  </r>
  <r>
    <x v="38"/>
    <n v="2"/>
    <s v="Meditation"/>
    <x v="37"/>
    <n v="21"/>
    <n v="1.8"/>
    <n v="7.8"/>
    <x v="2"/>
    <x v="4"/>
    <s v="Snacks"/>
    <s v="6.3"/>
    <s v="Yes"/>
    <n v="0.99796000000000007"/>
  </r>
  <r>
    <x v="39"/>
    <n v="2"/>
    <s v="Running"/>
    <x v="38"/>
    <n v="17"/>
    <n v="1.6"/>
    <n v="5.9"/>
    <x v="2"/>
    <x v="0"/>
    <s v="Healthy"/>
    <s v="6.7"/>
    <s v="No"/>
    <n v="0.84728666666666663"/>
  </r>
  <r>
    <x v="40"/>
    <n v="2"/>
    <s v="Gym Workout"/>
    <x v="39"/>
    <n v="28"/>
    <n v="1.7"/>
    <n v="4.0999999999999996"/>
    <x v="1"/>
    <x v="6"/>
    <s v="Snacks"/>
    <s v="7.3"/>
    <s v="FALSE"/>
    <n v="0.45375333333333334"/>
  </r>
  <r>
    <x v="41"/>
    <n v="2"/>
    <s v="Walking"/>
    <x v="40"/>
    <n v="117"/>
    <n v="0.5"/>
    <n v="6.1"/>
    <x v="2"/>
    <x v="0"/>
    <s v="Mixed"/>
    <s v="7.3"/>
    <s v="TRUE"/>
    <n v="0.91602000000000006"/>
  </r>
  <r>
    <x v="42"/>
    <n v="2"/>
    <s v="Walking"/>
    <x v="41"/>
    <n v="106"/>
    <n v="3"/>
    <n v="5.4"/>
    <x v="2"/>
    <x v="3"/>
    <s v="Fast Food"/>
    <s v="7.8"/>
    <s v="Yes"/>
    <n v="1.2824133333333334"/>
  </r>
  <r>
    <x v="43"/>
    <n v="2"/>
    <s v="Yoga"/>
    <x v="42"/>
    <n v="42"/>
    <n v="2.8"/>
    <n v="6.4"/>
    <x v="1"/>
    <x v="6"/>
    <s v="Mixed"/>
    <s v="7.9"/>
    <s v="No"/>
    <n v="0.84495999999999993"/>
  </r>
  <r>
    <x v="44"/>
    <n v="3"/>
    <s v="Swimming"/>
    <x v="43"/>
    <n v="118"/>
    <n v="1.5"/>
    <n v="8.6999999999999993"/>
    <x v="1"/>
    <x v="3"/>
    <s v="Mixed"/>
    <s v="1.1"/>
    <s v="Yes"/>
    <n v="1.2429933333333332"/>
  </r>
  <r>
    <x v="45"/>
    <n v="3"/>
    <s v="Meditation"/>
    <x v="44"/>
    <n v="58"/>
    <n v="2.1"/>
    <n v="6"/>
    <x v="3"/>
    <x v="2"/>
    <s v="Healthy"/>
    <s v="1.3"/>
    <s v="No"/>
    <n v="1.0571733333333335"/>
  </r>
  <r>
    <x v="46"/>
    <n v="3"/>
    <s v="Cycling"/>
    <x v="45"/>
    <n v="104"/>
    <n v="0.7"/>
    <n v="8.1999999999999993"/>
    <x v="1"/>
    <x v="2"/>
    <s v="Snacks"/>
    <s v="1.4"/>
    <s v="Yes"/>
    <n v="1.1052266666666668"/>
  </r>
  <r>
    <x v="47"/>
    <n v="3"/>
    <s v="Meditation"/>
    <x v="46"/>
    <n v="22"/>
    <n v="2.6"/>
    <n v="4.4000000000000004"/>
    <x v="1"/>
    <x v="5"/>
    <s v="Fast Food"/>
    <s v="2"/>
    <s v="TRUE"/>
    <n v="0.7849733333333333"/>
  </r>
  <r>
    <x v="48"/>
    <n v="3"/>
    <s v="Running"/>
    <x v="47"/>
    <n v="58"/>
    <n v="1"/>
    <n v="8.8000000000000007"/>
    <x v="2"/>
    <x v="4"/>
    <s v="Fast Food"/>
    <s v="2"/>
    <s v="FALSE"/>
    <n v="0.7968533333333333"/>
  </r>
  <r>
    <x v="49"/>
    <n v="3"/>
    <s v="Meditation"/>
    <x v="48"/>
    <n v="46"/>
    <n v="2"/>
    <n v="8.6999999999999993"/>
    <x v="0"/>
    <x v="0"/>
    <s v="Home Cooked"/>
    <s v="3.2"/>
    <s v="No"/>
    <n v="1.0214333333333334"/>
  </r>
  <r>
    <x v="50"/>
    <n v="3"/>
    <s v="Yoga"/>
    <x v="49"/>
    <n v="112"/>
    <n v="0.9"/>
    <n v="4.0999999999999996"/>
    <x v="3"/>
    <x v="1"/>
    <s v="Home Cooked"/>
    <s v="3.5"/>
    <s v="No"/>
    <n v="0.80703333333333338"/>
  </r>
  <r>
    <x v="51"/>
    <n v="3"/>
    <s v="Swimming"/>
    <x v="50"/>
    <n v="32"/>
    <n v="0.5"/>
    <n v="6.9"/>
    <x v="3"/>
    <x v="1"/>
    <s v="Fast Food"/>
    <s v="3.5"/>
    <s v="TRUE"/>
    <n v="0.62852666666666679"/>
  </r>
  <r>
    <x v="52"/>
    <n v="3"/>
    <s v="Walking"/>
    <x v="51"/>
    <n v="58"/>
    <n v="3.1"/>
    <n v="7.7"/>
    <x v="0"/>
    <x v="6"/>
    <s v="Fast Food"/>
    <s v="3.9"/>
    <s v="FALSE"/>
    <n v="1.1282333333333334"/>
  </r>
  <r>
    <x v="53"/>
    <n v="3"/>
    <s v="Meditation"/>
    <x v="52"/>
    <n v="47"/>
    <n v="2.1"/>
    <n v="5.9"/>
    <x v="1"/>
    <x v="0"/>
    <s v="Fast Food"/>
    <s v="4.2"/>
    <s v="No"/>
    <n v="1.1113266666666666"/>
  </r>
  <r>
    <x v="54"/>
    <n v="3"/>
    <s v="Cycling"/>
    <x v="53"/>
    <n v="13"/>
    <n v="0.5"/>
    <n v="8.9"/>
    <x v="0"/>
    <x v="0"/>
    <s v="Healthy"/>
    <s v="4.4"/>
    <s v="TRUE"/>
    <n v="0.87031333333333349"/>
  </r>
  <r>
    <x v="55"/>
    <n v="3"/>
    <s v="Gym Workout"/>
    <x v="54"/>
    <n v="43"/>
    <n v="2.2000000000000002"/>
    <n v="6.9"/>
    <x v="3"/>
    <x v="2"/>
    <s v="Mixed"/>
    <s v="5"/>
    <s v="FALSE"/>
    <n v="0.9832333333333334"/>
  </r>
  <r>
    <x v="56"/>
    <n v="3"/>
    <s v="Walking"/>
    <x v="55"/>
    <n v="11"/>
    <n v="0.5"/>
    <n v="7"/>
    <x v="3"/>
    <x v="1"/>
    <s v="Snacks"/>
    <s v="5"/>
    <s v="No"/>
    <n v="0.47190666666666664"/>
  </r>
  <r>
    <x v="57"/>
    <n v="3"/>
    <s v="Reading"/>
    <x v="56"/>
    <n v="35"/>
    <n v="3.2"/>
    <n v="5.6"/>
    <x v="2"/>
    <x v="5"/>
    <s v="Healthy"/>
    <s v="5.1"/>
    <s v="TRUE"/>
    <n v="0.63974666666666669"/>
  </r>
  <r>
    <x v="58"/>
    <n v="3"/>
    <s v="Reading"/>
    <x v="57"/>
    <n v="81"/>
    <n v="1.8"/>
    <n v="5.4"/>
    <x v="3"/>
    <x v="3"/>
    <s v="Fast Food"/>
    <s v="5.3"/>
    <s v="Yes"/>
    <n v="1.1008800000000001"/>
  </r>
  <r>
    <x v="59"/>
    <n v="3"/>
    <s v="Reading"/>
    <x v="58"/>
    <n v="72"/>
    <n v="1.4"/>
    <n v="5.0999999999999996"/>
    <x v="1"/>
    <x v="6"/>
    <s v="Fast Food"/>
    <s v="5.3"/>
    <s v="TRUE"/>
    <n v="0.6903800000000001"/>
  </r>
  <r>
    <x v="60"/>
    <n v="3"/>
    <s v="Cycling"/>
    <x v="59"/>
    <n v="55"/>
    <n v="1.6"/>
    <n v="6.5"/>
    <x v="1"/>
    <x v="4"/>
    <s v="Healthy"/>
    <s v="5.8"/>
    <s v="FALSE"/>
    <n v="0.66155333333333333"/>
  </r>
  <r>
    <x v="61"/>
    <n v="3"/>
    <s v="Cycling"/>
    <x v="60"/>
    <n v="15"/>
    <n v="1.5"/>
    <n v="7.7"/>
    <x v="2"/>
    <x v="2"/>
    <s v="Healthy"/>
    <s v="5.9"/>
    <s v="No"/>
    <n v="0.78806000000000009"/>
  </r>
  <r>
    <x v="62"/>
    <n v="3"/>
    <s v="Swimming"/>
    <x v="61"/>
    <n v="53"/>
    <n v="1.1000000000000001"/>
    <n v="8.8000000000000007"/>
    <x v="3"/>
    <x v="5"/>
    <s v="Home Cooked"/>
    <s v="6"/>
    <s v="TRUE"/>
    <n v="0.81930666666666674"/>
  </r>
  <r>
    <x v="63"/>
    <n v="3"/>
    <s v="Gym Workout"/>
    <x v="62"/>
    <n v="37"/>
    <n v="1.6"/>
    <n v="6.3"/>
    <x v="2"/>
    <x v="4"/>
    <s v="Healthy"/>
    <s v="6.2"/>
    <s v="No"/>
    <n v="1.0112733333333335"/>
  </r>
  <r>
    <x v="64"/>
    <n v="3"/>
    <s v="Running"/>
    <x v="63"/>
    <n v="47"/>
    <n v="2.8"/>
    <n v="7.5"/>
    <x v="1"/>
    <x v="0"/>
    <s v="Mixed"/>
    <s v="6.5"/>
    <s v="No"/>
    <n v="0.77232666666666661"/>
  </r>
  <r>
    <x v="65"/>
    <n v="3"/>
    <s v="Yoga"/>
    <x v="64"/>
    <n v="85"/>
    <n v="0.8"/>
    <n v="8.6"/>
    <x v="1"/>
    <x v="5"/>
    <s v="Mixed"/>
    <s v="6.5"/>
    <s v="TRUE"/>
    <n v="1.0752133333333334"/>
  </r>
  <r>
    <x v="66"/>
    <n v="3"/>
    <s v="Swimming"/>
    <x v="65"/>
    <n v="31"/>
    <n v="0.6"/>
    <n v="7.9"/>
    <x v="1"/>
    <x v="0"/>
    <s v="Snacks"/>
    <s v="6.8"/>
    <s v="No"/>
    <n v="0.55647333333333338"/>
  </r>
  <r>
    <x v="67"/>
    <n v="3"/>
    <s v="Reading"/>
    <x v="20"/>
    <n v="38"/>
    <n v="0.8"/>
    <n v="8.1999999999999993"/>
    <x v="1"/>
    <x v="1"/>
    <s v="Mixed"/>
    <s v="7.4"/>
    <s v="FALSE"/>
    <n v="0.63750666666666667"/>
  </r>
  <r>
    <x v="68"/>
    <n v="4"/>
    <s v="Yoga"/>
    <x v="0"/>
    <n v="48"/>
    <n v="0.7"/>
    <n v="4.4000000000000004"/>
    <x v="0"/>
    <x v="2"/>
    <s v="Mixed"/>
    <s v="1"/>
    <s v="Yes"/>
    <n v="0.5"/>
  </r>
  <r>
    <x v="69"/>
    <n v="4"/>
    <s v="Walking"/>
    <x v="66"/>
    <n v="34"/>
    <n v="1.3"/>
    <n v="8.6"/>
    <x v="1"/>
    <x v="1"/>
    <s v="Home Cooked"/>
    <s v="1.3"/>
    <s v="No"/>
    <n v="0.69385333333333332"/>
  </r>
  <r>
    <x v="70"/>
    <n v="4"/>
    <s v="Meditation"/>
    <x v="67"/>
    <n v="48"/>
    <n v="0.5"/>
    <n v="4.3"/>
    <x v="0"/>
    <x v="6"/>
    <s v="Fast Food"/>
    <s v="1.6"/>
    <s v="Yes"/>
    <n v="0.52990000000000004"/>
  </r>
  <r>
    <x v="71"/>
    <n v="4"/>
    <s v="Running"/>
    <x v="68"/>
    <n v="34"/>
    <n v="2"/>
    <n v="7.6"/>
    <x v="1"/>
    <x v="2"/>
    <s v="Mixed"/>
    <s v="1.7"/>
    <s v="Yes"/>
    <n v="0.79517333333333329"/>
  </r>
  <r>
    <x v="72"/>
    <n v="4"/>
    <s v="Gym Workout"/>
    <x v="69"/>
    <n v="60"/>
    <n v="1.2"/>
    <n v="6.9"/>
    <x v="2"/>
    <x v="6"/>
    <s v="Home Cooked"/>
    <s v="2.2"/>
    <s v="TRUE"/>
    <n v="1.0745"/>
  </r>
  <r>
    <x v="73"/>
    <n v="4"/>
    <s v="Cycling"/>
    <x v="70"/>
    <n v="62"/>
    <n v="2.2999999999999998"/>
    <n v="5.2"/>
    <x v="3"/>
    <x v="3"/>
    <s v="Fast Food"/>
    <s v="3.7"/>
    <s v="No"/>
    <n v="0.74130666666666667"/>
  </r>
  <r>
    <x v="72"/>
    <n v="4"/>
    <s v="Cycling"/>
    <x v="71"/>
    <n v="71"/>
    <n v="3"/>
    <n v="7.5"/>
    <x v="0"/>
    <x v="5"/>
    <s v="Snacks"/>
    <s v="3.9"/>
    <s v="No"/>
    <n v="1.1164866666666668"/>
  </r>
  <r>
    <x v="74"/>
    <n v="4"/>
    <s v="Cycling"/>
    <x v="72"/>
    <n v="62"/>
    <n v="0.5"/>
    <n v="8.6"/>
    <x v="3"/>
    <x v="1"/>
    <s v="Healthy"/>
    <s v="3.9"/>
    <s v="Yes"/>
    <n v="0.77710666666666672"/>
  </r>
  <r>
    <x v="75"/>
    <n v="4"/>
    <s v="Meditation"/>
    <x v="73"/>
    <n v="107"/>
    <n v="3.2"/>
    <n v="6.7"/>
    <x v="0"/>
    <x v="5"/>
    <s v="Snacks"/>
    <s v="4.1"/>
    <s v="No"/>
    <n v="1.2233666666666667"/>
  </r>
  <r>
    <x v="76"/>
    <n v="4"/>
    <s v="Gym Workout"/>
    <x v="74"/>
    <n v="118"/>
    <n v="1"/>
    <n v="7.1"/>
    <x v="0"/>
    <x v="4"/>
    <s v="Mixed"/>
    <s v="4.3"/>
    <s v="Yes"/>
    <n v="1.0148733333333333"/>
  </r>
  <r>
    <x v="77"/>
    <n v="4"/>
    <s v="Meditation"/>
    <x v="75"/>
    <n v="70"/>
    <n v="2.9"/>
    <n v="7.5"/>
    <x v="1"/>
    <x v="5"/>
    <s v="Fast Food"/>
    <s v="4.6"/>
    <s v="Yes"/>
    <n v="1.0492333333333335"/>
  </r>
  <r>
    <x v="78"/>
    <n v="4"/>
    <s v="Gym Workout"/>
    <x v="76"/>
    <n v="102"/>
    <n v="2.4"/>
    <n v="7"/>
    <x v="3"/>
    <x v="3"/>
    <s v="Fast Food"/>
    <s v="4.6"/>
    <s v="Yes"/>
    <n v="1.1280800000000002"/>
  </r>
  <r>
    <x v="79"/>
    <n v="4"/>
    <s v="Yoga"/>
    <x v="77"/>
    <n v="106"/>
    <n v="2.9"/>
    <n v="6"/>
    <x v="3"/>
    <x v="6"/>
    <s v="Home Cooked"/>
    <s v="5.4"/>
    <s v="Yes"/>
    <n v="1.0237733333333332"/>
  </r>
  <r>
    <x v="80"/>
    <n v="4"/>
    <s v="Walking"/>
    <x v="0"/>
    <n v="73"/>
    <n v="1.9"/>
    <n v="8.3000000000000007"/>
    <x v="2"/>
    <x v="5"/>
    <s v="Mixed"/>
    <s v="5.8"/>
    <s v="FALSE"/>
    <n v="0.80083333333333329"/>
  </r>
  <r>
    <x v="81"/>
    <n v="4"/>
    <s v="Swimming"/>
    <x v="78"/>
    <n v="67"/>
    <n v="3.2"/>
    <n v="7.5"/>
    <x v="1"/>
    <x v="6"/>
    <s v="Snacks"/>
    <s v="5.8"/>
    <s v="TRUE"/>
    <n v="1.0631933333333334"/>
  </r>
  <r>
    <x v="82"/>
    <n v="4"/>
    <s v="Reading"/>
    <x v="0"/>
    <n v="64"/>
    <n v="2.5"/>
    <n v="8.6999999999999993"/>
    <x v="3"/>
    <x v="3"/>
    <s v="Fast Food"/>
    <s v="6.1"/>
    <s v="FALSE"/>
    <n v="0.84083333333333343"/>
  </r>
  <r>
    <x v="83"/>
    <n v="4"/>
    <s v="Reading"/>
    <x v="79"/>
    <n v="34"/>
    <n v="1.5"/>
    <n v="6.6"/>
    <x v="2"/>
    <x v="1"/>
    <s v="Snacks"/>
    <s v="6.1"/>
    <s v="FALSE"/>
    <n v="0.77109333333333341"/>
  </r>
  <r>
    <x v="84"/>
    <n v="4"/>
    <s v="Swimming"/>
    <x v="80"/>
    <n v="102"/>
    <n v="0.5"/>
    <n v="8.3000000000000007"/>
    <x v="3"/>
    <x v="1"/>
    <s v="Snacks"/>
    <s v="6.9"/>
    <s v="FALSE"/>
    <n v="1.1780600000000001"/>
  </r>
  <r>
    <x v="85"/>
    <n v="4"/>
    <s v="Cycling"/>
    <x v="81"/>
    <n v="52"/>
    <n v="2.2999999999999998"/>
    <n v="8.9"/>
    <x v="0"/>
    <x v="1"/>
    <s v="Home Cooked"/>
    <s v="7.2"/>
    <s v="TRUE"/>
    <n v="1.1762333333333332"/>
  </r>
  <r>
    <x v="86"/>
    <n v="4"/>
    <s v="Yoga"/>
    <x v="82"/>
    <n v="103"/>
    <n v="0.5"/>
    <n v="5"/>
    <x v="2"/>
    <x v="2"/>
    <s v="Snacks"/>
    <s v="7.3"/>
    <s v="FALSE"/>
    <n v="1.0344933333333335"/>
  </r>
  <r>
    <x v="87"/>
    <n v="4"/>
    <s v="Walking"/>
    <x v="83"/>
    <n v="26"/>
    <n v="1"/>
    <n v="6.8"/>
    <x v="0"/>
    <x v="3"/>
    <s v="Snacks"/>
    <s v="7.4"/>
    <s v="TRUE"/>
    <n v="0.60890666666666671"/>
  </r>
  <r>
    <x v="88"/>
    <n v="5"/>
    <s v="Reading"/>
    <x v="84"/>
    <n v="10"/>
    <n v="2.8"/>
    <n v="6.3"/>
    <x v="1"/>
    <x v="2"/>
    <s v="Fast Food"/>
    <s v="4.7"/>
    <s v="FALSE"/>
    <n v="0.61343333333333327"/>
  </r>
  <r>
    <x v="89"/>
    <n v="5"/>
    <s v="Reading"/>
    <x v="85"/>
    <n v="62"/>
    <n v="1.2"/>
    <n v="5.2"/>
    <x v="2"/>
    <x v="1"/>
    <s v="Healthy"/>
    <s v="5.8"/>
    <s v="No"/>
    <n v="0.81718666666666673"/>
  </r>
  <r>
    <x v="90"/>
    <n v="5"/>
    <s v="Yoga"/>
    <x v="86"/>
    <n v="118"/>
    <n v="1.3"/>
    <n v="8.8000000000000007"/>
    <x v="1"/>
    <x v="4"/>
    <s v="Snacks"/>
    <s v="6.2"/>
    <s v="FALSE"/>
    <n v="1.3143333333333334"/>
  </r>
  <r>
    <x v="91"/>
    <n v="6"/>
    <s v="Meditation"/>
    <x v="87"/>
    <n v="89"/>
    <n v="1"/>
    <n v="4.7"/>
    <x v="2"/>
    <x v="4"/>
    <s v="Fast Food"/>
    <s v="5.5"/>
    <s v="No"/>
    <n v="0.86816666666666675"/>
  </r>
  <r>
    <x v="92"/>
    <n v="6"/>
    <s v="Walking"/>
    <x v="88"/>
    <n v="112"/>
    <n v="2.8"/>
    <n v="5.4"/>
    <x v="1"/>
    <x v="0"/>
    <s v="Healthy"/>
    <s v="7.3"/>
    <s v="TRUE"/>
    <n v="1.3420133333333335"/>
  </r>
  <r>
    <x v="93"/>
    <n v="7"/>
    <s v="Swimming"/>
    <x v="89"/>
    <n v="24"/>
    <n v="0.8"/>
    <n v="5"/>
    <x v="3"/>
    <x v="2"/>
    <s v="Snacks"/>
    <s v="1.3"/>
    <s v="Yes"/>
    <n v="0.86912000000000011"/>
  </r>
  <r>
    <x v="94"/>
    <n v="7"/>
    <s v="Walking"/>
    <x v="90"/>
    <n v="70"/>
    <n v="1.1000000000000001"/>
    <n v="4.2"/>
    <x v="2"/>
    <x v="5"/>
    <s v="Home Cooked"/>
    <s v="2.2"/>
    <s v="FALSE"/>
    <n v="0.91477333333333333"/>
  </r>
  <r>
    <x v="95"/>
    <n v="7"/>
    <s v="Meditation"/>
    <x v="91"/>
    <n v="74"/>
    <n v="2.2000000000000002"/>
    <n v="5.3"/>
    <x v="1"/>
    <x v="3"/>
    <s v="Mixed"/>
    <s v="2.4"/>
    <s v="No"/>
    <n v="1.1100066666666666"/>
  </r>
  <r>
    <x v="96"/>
    <n v="8"/>
    <s v="Cycling"/>
    <x v="92"/>
    <n v="17"/>
    <n v="0.8"/>
    <n v="5.2"/>
    <x v="0"/>
    <x v="0"/>
    <s v="Snacks"/>
    <s v="6.1"/>
    <s v="Yes"/>
    <n v="0.47366666666666668"/>
  </r>
  <r>
    <x v="97"/>
    <n v="9"/>
    <s v="Running"/>
    <x v="93"/>
    <n v="90"/>
    <n v="2.6"/>
    <n v="8"/>
    <x v="1"/>
    <x v="2"/>
    <s v="Mixed"/>
    <s v="5.2"/>
    <s v="TRUE"/>
    <n v="1.0303200000000001"/>
  </r>
  <r>
    <x v="98"/>
    <n v="9"/>
    <s v="Cycling"/>
    <x v="94"/>
    <n v="93"/>
    <n v="2.2000000000000002"/>
    <n v="5.9"/>
    <x v="1"/>
    <x v="4"/>
    <s v="Snacks"/>
    <s v="5.5"/>
    <s v="No"/>
    <n v="1.2070200000000002"/>
  </r>
  <r>
    <x v="99"/>
    <n v="9"/>
    <s v="Swimming"/>
    <x v="95"/>
    <n v="57"/>
    <n v="0.8"/>
    <n v="7.2"/>
    <x v="1"/>
    <x v="5"/>
    <s v="Fast Food"/>
    <s v="6.2"/>
    <s v="FALSE"/>
    <n v="0.54288000000000003"/>
  </r>
  <r>
    <x v="100"/>
    <n v="9"/>
    <s v="Walking"/>
    <x v="96"/>
    <n v="57"/>
    <n v="0.7"/>
    <n v="5.4"/>
    <x v="1"/>
    <x v="4"/>
    <s v="Fast Food"/>
    <s v="6.6"/>
    <s v="FALSE"/>
    <n v="0.57011999999999996"/>
  </r>
  <r>
    <x v="101"/>
    <n v="10"/>
    <s v="Swimming"/>
    <x v="97"/>
    <n v="57"/>
    <n v="1.6"/>
    <n v="7.3"/>
    <x v="2"/>
    <x v="5"/>
    <s v="Healthy"/>
    <s v="5.7"/>
    <s v="Yes"/>
    <n v="0.71665999999999996"/>
  </r>
  <r>
    <x v="102"/>
    <n v="10"/>
    <s v="Walking"/>
    <x v="0"/>
    <n v="56"/>
    <n v="2.4"/>
    <n v="5.7"/>
    <x v="1"/>
    <x v="3"/>
    <s v="Mixed"/>
    <s v="6.8"/>
    <s v="Yes"/>
    <n v="0.72916666666666674"/>
  </r>
  <r>
    <x v="103"/>
    <n v="11"/>
    <s v="Swimming"/>
    <x v="98"/>
    <n v="118"/>
    <n v="3.1"/>
    <n v="5.8"/>
    <x v="1"/>
    <x v="1"/>
    <s v="Healthy"/>
    <s v="3.8"/>
    <s v="TRUE"/>
    <n v="1.1431333333333333"/>
  </r>
  <r>
    <x v="104"/>
    <n v="11"/>
    <s v="Running"/>
    <x v="99"/>
    <n v="43"/>
    <n v="0.5"/>
    <n v="6.5"/>
    <x v="3"/>
    <x v="5"/>
    <s v="Mixed"/>
    <s v="5.9"/>
    <s v="Yes"/>
    <n v="0.80851333333333331"/>
  </r>
  <r>
    <x v="105"/>
    <n v="11"/>
    <s v="Meditation"/>
    <x v="100"/>
    <n v="107"/>
    <n v="3.1"/>
    <n v="5.0999999999999996"/>
    <x v="2"/>
    <x v="1"/>
    <s v="Snacks"/>
    <s v="7.8"/>
    <s v="No"/>
    <n v="1.3818466666666669"/>
  </r>
  <r>
    <x v="106"/>
    <n v="12"/>
    <s v="Meditation"/>
    <x v="101"/>
    <n v="99"/>
    <n v="2.1"/>
    <n v="5.2"/>
    <x v="1"/>
    <x v="2"/>
    <s v="Healthy"/>
    <s v="3.4"/>
    <s v="TRUE"/>
    <n v="0.97916000000000003"/>
  </r>
  <r>
    <x v="107"/>
    <n v="12"/>
    <s v="Cycling"/>
    <x v="102"/>
    <n v="19"/>
    <n v="1.8"/>
    <n v="6.8"/>
    <x v="2"/>
    <x v="0"/>
    <s v="Snacks"/>
    <s v="5"/>
    <s v="FALSE"/>
    <n v="0.82801333333333338"/>
  </r>
  <r>
    <x v="108"/>
    <n v="12"/>
    <s v="Gym Workout"/>
    <x v="103"/>
    <n v="112"/>
    <n v="1.9"/>
    <n v="6.8"/>
    <x v="1"/>
    <x v="5"/>
    <s v="Home Cooked"/>
    <s v="5.9"/>
    <s v="No"/>
    <n v="0.82785333333333333"/>
  </r>
  <r>
    <x v="109"/>
    <n v="12"/>
    <s v="Gym Workout"/>
    <x v="104"/>
    <n v="90"/>
    <n v="2"/>
    <n v="6.6"/>
    <x v="1"/>
    <x v="6"/>
    <s v="Fast Food"/>
    <s v="6.2"/>
    <s v="FALSE"/>
    <n v="0.918240000000000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84189-4EB7-4CE0-B233-7E8DD18E96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5">
    <pivotField numFmtId="164" showAll="0">
      <items count="111">
        <item x="16"/>
        <item x="21"/>
        <item x="1"/>
        <item x="23"/>
        <item x="15"/>
        <item x="20"/>
        <item x="4"/>
        <item x="10"/>
        <item x="7"/>
        <item x="8"/>
        <item x="13"/>
        <item x="19"/>
        <item x="17"/>
        <item x="18"/>
        <item x="2"/>
        <item x="5"/>
        <item x="22"/>
        <item x="24"/>
        <item x="14"/>
        <item x="6"/>
        <item x="3"/>
        <item x="12"/>
        <item x="9"/>
        <item x="11"/>
        <item x="0"/>
        <item x="42"/>
        <item x="31"/>
        <item x="26"/>
        <item x="38"/>
        <item x="40"/>
        <item x="29"/>
        <item x="33"/>
        <item x="36"/>
        <item x="39"/>
        <item x="41"/>
        <item x="37"/>
        <item x="35"/>
        <item x="28"/>
        <item x="27"/>
        <item x="34"/>
        <item x="32"/>
        <item x="43"/>
        <item x="25"/>
        <item x="30"/>
        <item x="45"/>
        <item x="50"/>
        <item x="48"/>
        <item x="60"/>
        <item x="63"/>
        <item x="55"/>
        <item x="44"/>
        <item x="46"/>
        <item x="54"/>
        <item x="62"/>
        <item x="49"/>
        <item x="47"/>
        <item x="52"/>
        <item x="66"/>
        <item x="57"/>
        <item x="51"/>
        <item x="61"/>
        <item x="64"/>
        <item x="53"/>
        <item x="56"/>
        <item x="58"/>
        <item x="65"/>
        <item x="67"/>
        <item x="59"/>
        <item x="80"/>
        <item x="72"/>
        <item x="79"/>
        <item x="86"/>
        <item x="81"/>
        <item x="71"/>
        <item x="74"/>
        <item x="73"/>
        <item x="82"/>
        <item x="76"/>
        <item x="68"/>
        <item x="77"/>
        <item x="87"/>
        <item x="84"/>
        <item x="75"/>
        <item x="70"/>
        <item x="83"/>
        <item x="69"/>
        <item x="85"/>
        <item x="78"/>
        <item x="89"/>
        <item x="90"/>
        <item x="88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4"/>
        <item x="103"/>
        <item x="105"/>
        <item x="108"/>
        <item x="107"/>
        <item x="106"/>
        <item x="109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leep_Quality" fld="7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2ACDF-5736-48E4-ADE7-583904BFDF2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5">
    <pivotField numFmtId="164" showAll="0">
      <items count="111">
        <item x="16"/>
        <item x="21"/>
        <item x="1"/>
        <item x="23"/>
        <item x="15"/>
        <item x="20"/>
        <item x="4"/>
        <item x="10"/>
        <item x="7"/>
        <item x="8"/>
        <item x="13"/>
        <item x="19"/>
        <item x="17"/>
        <item x="18"/>
        <item x="2"/>
        <item x="5"/>
        <item x="22"/>
        <item x="24"/>
        <item x="14"/>
        <item x="6"/>
        <item x="3"/>
        <item x="12"/>
        <item x="9"/>
        <item x="11"/>
        <item x="0"/>
        <item x="42"/>
        <item x="31"/>
        <item x="26"/>
        <item x="38"/>
        <item x="40"/>
        <item x="29"/>
        <item x="33"/>
        <item x="36"/>
        <item x="39"/>
        <item x="41"/>
        <item x="37"/>
        <item x="35"/>
        <item x="28"/>
        <item x="27"/>
        <item x="34"/>
        <item x="32"/>
        <item x="43"/>
        <item x="25"/>
        <item x="30"/>
        <item x="45"/>
        <item x="50"/>
        <item x="48"/>
        <item x="60"/>
        <item x="63"/>
        <item x="55"/>
        <item x="44"/>
        <item x="46"/>
        <item x="54"/>
        <item x="62"/>
        <item x="49"/>
        <item x="47"/>
        <item x="52"/>
        <item x="66"/>
        <item x="57"/>
        <item x="51"/>
        <item x="61"/>
        <item x="64"/>
        <item x="53"/>
        <item x="56"/>
        <item x="58"/>
        <item x="65"/>
        <item x="67"/>
        <item x="59"/>
        <item x="80"/>
        <item x="72"/>
        <item x="79"/>
        <item x="86"/>
        <item x="81"/>
        <item x="71"/>
        <item x="74"/>
        <item x="73"/>
        <item x="82"/>
        <item x="76"/>
        <item x="68"/>
        <item x="77"/>
        <item x="87"/>
        <item x="84"/>
        <item x="75"/>
        <item x="70"/>
        <item x="83"/>
        <item x="69"/>
        <item x="85"/>
        <item x="78"/>
        <item x="89"/>
        <item x="90"/>
        <item x="88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4"/>
        <item x="103"/>
        <item x="105"/>
        <item x="108"/>
        <item x="107"/>
        <item x="106"/>
        <item x="1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4"/>
        <item x="3"/>
        <item x="2"/>
        <item x="1"/>
        <item x="5"/>
        <item x="0"/>
        <item x="6"/>
        <item t="default"/>
      </items>
    </pivotField>
    <pivotField showAll="0"/>
    <pivotField showAll="0"/>
    <pivotField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Mood" fld="8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04197-5078-4693-A4EE-1607DD85540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6" firstHeaderRow="1" firstDataRow="1" firstDataCol="1"/>
  <pivotFields count="15">
    <pivotField axis="axisRow" numFmtId="164" showAll="0">
      <items count="111">
        <item x="16"/>
        <item x="21"/>
        <item x="1"/>
        <item x="23"/>
        <item x="15"/>
        <item x="20"/>
        <item x="4"/>
        <item x="10"/>
        <item x="7"/>
        <item x="8"/>
        <item x="13"/>
        <item x="19"/>
        <item x="17"/>
        <item x="18"/>
        <item x="2"/>
        <item x="5"/>
        <item x="22"/>
        <item x="24"/>
        <item x="14"/>
        <item x="6"/>
        <item x="3"/>
        <item x="12"/>
        <item x="9"/>
        <item x="11"/>
        <item x="0"/>
        <item x="42"/>
        <item x="31"/>
        <item x="26"/>
        <item x="38"/>
        <item x="40"/>
        <item x="29"/>
        <item x="33"/>
        <item x="36"/>
        <item x="39"/>
        <item x="41"/>
        <item x="37"/>
        <item x="35"/>
        <item x="28"/>
        <item x="27"/>
        <item x="34"/>
        <item x="32"/>
        <item x="43"/>
        <item x="25"/>
        <item x="30"/>
        <item x="45"/>
        <item x="50"/>
        <item x="48"/>
        <item x="60"/>
        <item x="63"/>
        <item x="55"/>
        <item x="44"/>
        <item x="46"/>
        <item x="54"/>
        <item x="62"/>
        <item x="49"/>
        <item x="47"/>
        <item x="52"/>
        <item x="66"/>
        <item x="57"/>
        <item x="51"/>
        <item x="61"/>
        <item x="64"/>
        <item x="53"/>
        <item x="56"/>
        <item x="58"/>
        <item x="65"/>
        <item x="67"/>
        <item x="59"/>
        <item x="80"/>
        <item x="72"/>
        <item x="79"/>
        <item x="86"/>
        <item x="81"/>
        <item x="71"/>
        <item x="74"/>
        <item x="73"/>
        <item x="82"/>
        <item x="76"/>
        <item x="68"/>
        <item x="77"/>
        <item x="87"/>
        <item x="84"/>
        <item x="75"/>
        <item x="70"/>
        <item x="83"/>
        <item x="69"/>
        <item x="85"/>
        <item x="78"/>
        <item x="89"/>
        <item x="90"/>
        <item x="88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4"/>
        <item x="103"/>
        <item x="105"/>
        <item x="108"/>
        <item x="107"/>
        <item x="106"/>
        <item x="109"/>
        <item t="default"/>
      </items>
    </pivotField>
    <pivotField showAll="0"/>
    <pivotField showAll="0"/>
    <pivotField dataField="1" showAll="0">
      <items count="106">
        <item x="56"/>
        <item x="33"/>
        <item x="39"/>
        <item x="95"/>
        <item x="18"/>
        <item x="103"/>
        <item x="13"/>
        <item x="27"/>
        <item x="12"/>
        <item x="84"/>
        <item x="63"/>
        <item x="59"/>
        <item x="0"/>
        <item x="34"/>
        <item x="10"/>
        <item x="70"/>
        <item x="96"/>
        <item x="2"/>
        <item x="58"/>
        <item x="97"/>
        <item x="65"/>
        <item x="92"/>
        <item x="55"/>
        <item x="67"/>
        <item x="25"/>
        <item x="20"/>
        <item x="24"/>
        <item x="77"/>
        <item x="66"/>
        <item x="49"/>
        <item x="1"/>
        <item x="83"/>
        <item x="104"/>
        <item x="19"/>
        <item x="3"/>
        <item x="8"/>
        <item x="42"/>
        <item x="32"/>
        <item x="93"/>
        <item x="29"/>
        <item x="7"/>
        <item x="47"/>
        <item x="68"/>
        <item x="98"/>
        <item x="50"/>
        <item x="72"/>
        <item x="101"/>
        <item x="5"/>
        <item x="61"/>
        <item x="40"/>
        <item x="36"/>
        <item x="78"/>
        <item x="75"/>
        <item x="46"/>
        <item x="79"/>
        <item x="35"/>
        <item x="74"/>
        <item x="30"/>
        <item x="15"/>
        <item x="87"/>
        <item x="21"/>
        <item x="85"/>
        <item x="14"/>
        <item x="76"/>
        <item x="22"/>
        <item x="73"/>
        <item x="71"/>
        <item x="23"/>
        <item x="60"/>
        <item x="102"/>
        <item x="51"/>
        <item x="11"/>
        <item x="54"/>
        <item x="48"/>
        <item x="99"/>
        <item x="9"/>
        <item x="90"/>
        <item x="43"/>
        <item x="38"/>
        <item x="45"/>
        <item x="41"/>
        <item x="4"/>
        <item x="64"/>
        <item x="6"/>
        <item x="44"/>
        <item x="31"/>
        <item x="91"/>
        <item x="57"/>
        <item x="82"/>
        <item x="16"/>
        <item x="17"/>
        <item x="28"/>
        <item x="94"/>
        <item x="81"/>
        <item x="37"/>
        <item x="88"/>
        <item x="53"/>
        <item x="62"/>
        <item x="86"/>
        <item x="80"/>
        <item x="69"/>
        <item x="89"/>
        <item x="100"/>
        <item x="26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Steps" fld="3" subtotal="average" baseField="14" baseItem="1" numFmtId="1"/>
  </dataFields>
  <formats count="1">
    <format dxfId="3">
      <pivotArea dataOnly="0" labelOnly="1" outline="0" axis="axisValues" fieldPosition="0"/>
    </format>
  </format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F04B4D-9855-414E-9E7B-B3B54C92AA0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2HeNXXjPrK5EXlrYiP7V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CC43-A794-465B-82DC-4657E92D31EC}">
  <dimension ref="A3:B8"/>
  <sheetViews>
    <sheetView workbookViewId="0">
      <selection activeCell="C19" sqref="C19"/>
    </sheetView>
  </sheetViews>
  <sheetFormatPr defaultRowHeight="14.4" x14ac:dyDescent="0.3"/>
  <cols>
    <col min="1" max="1" width="12.44140625" bestFit="1" customWidth="1"/>
    <col min="2" max="2" width="19.88671875" bestFit="1" customWidth="1"/>
  </cols>
  <sheetData>
    <row r="3" spans="1:2" x14ac:dyDescent="0.3">
      <c r="A3" s="20" t="s">
        <v>134</v>
      </c>
      <c r="B3" t="s">
        <v>136</v>
      </c>
    </row>
    <row r="4" spans="1:2" x14ac:dyDescent="0.3">
      <c r="A4" s="19" t="s">
        <v>26</v>
      </c>
      <c r="B4">
        <v>20</v>
      </c>
    </row>
    <row r="5" spans="1:2" x14ac:dyDescent="0.3">
      <c r="A5" s="19" t="s">
        <v>14</v>
      </c>
      <c r="B5">
        <v>21</v>
      </c>
    </row>
    <row r="6" spans="1:2" x14ac:dyDescent="0.3">
      <c r="A6" s="19" t="s">
        <v>23</v>
      </c>
      <c r="B6">
        <v>36</v>
      </c>
    </row>
    <row r="7" spans="1:2" x14ac:dyDescent="0.3">
      <c r="A7" s="19" t="s">
        <v>32</v>
      </c>
      <c r="B7">
        <v>36</v>
      </c>
    </row>
    <row r="8" spans="1:2" x14ac:dyDescent="0.3">
      <c r="A8" s="19" t="s">
        <v>135</v>
      </c>
      <c r="B8">
        <v>113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7523-9625-4C0B-8273-9BC4DEA5ED83}">
  <dimension ref="A3:B11"/>
  <sheetViews>
    <sheetView workbookViewId="0">
      <selection activeCell="G21" sqref="G21"/>
    </sheetView>
  </sheetViews>
  <sheetFormatPr defaultRowHeight="14.4" x14ac:dyDescent="0.3"/>
  <cols>
    <col min="1" max="1" width="12.44140625" bestFit="1" customWidth="1"/>
    <col min="2" max="2" width="12.6640625" bestFit="1" customWidth="1"/>
  </cols>
  <sheetData>
    <row r="3" spans="1:2" x14ac:dyDescent="0.3">
      <c r="A3" s="20" t="s">
        <v>134</v>
      </c>
      <c r="B3" t="s">
        <v>137</v>
      </c>
    </row>
    <row r="4" spans="1:2" x14ac:dyDescent="0.3">
      <c r="A4" s="19" t="s">
        <v>36</v>
      </c>
      <c r="B4">
        <v>15</v>
      </c>
    </row>
    <row r="5" spans="1:2" x14ac:dyDescent="0.3">
      <c r="A5" s="19" t="s">
        <v>38</v>
      </c>
      <c r="B5">
        <v>17</v>
      </c>
    </row>
    <row r="6" spans="1:2" x14ac:dyDescent="0.3">
      <c r="A6" s="19" t="s">
        <v>20</v>
      </c>
      <c r="B6">
        <v>18</v>
      </c>
    </row>
    <row r="7" spans="1:2" x14ac:dyDescent="0.3">
      <c r="A7" s="19" t="s">
        <v>27</v>
      </c>
      <c r="B7">
        <v>17</v>
      </c>
    </row>
    <row r="8" spans="1:2" x14ac:dyDescent="0.3">
      <c r="A8" s="19" t="s">
        <v>15</v>
      </c>
      <c r="B8">
        <v>21</v>
      </c>
    </row>
    <row r="9" spans="1:2" x14ac:dyDescent="0.3">
      <c r="A9" s="19" t="s">
        <v>37</v>
      </c>
      <c r="B9">
        <v>12</v>
      </c>
    </row>
    <row r="10" spans="1:2" x14ac:dyDescent="0.3">
      <c r="A10" s="19" t="s">
        <v>28</v>
      </c>
      <c r="B10">
        <v>13</v>
      </c>
    </row>
    <row r="11" spans="1:2" x14ac:dyDescent="0.3">
      <c r="A11" s="19" t="s">
        <v>135</v>
      </c>
      <c r="B11">
        <v>113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220C-244A-4277-8F97-8E17E6304E5A}">
  <dimension ref="A3:B16"/>
  <sheetViews>
    <sheetView workbookViewId="0">
      <selection activeCell="K19" sqref="K19"/>
    </sheetView>
  </sheetViews>
  <sheetFormatPr defaultRowHeight="14.4" x14ac:dyDescent="0.3"/>
  <cols>
    <col min="1" max="1" width="12.44140625" bestFit="1" customWidth="1"/>
    <col min="2" max="2" width="14.6640625" bestFit="1" customWidth="1"/>
  </cols>
  <sheetData>
    <row r="3" spans="1:2" x14ac:dyDescent="0.3">
      <c r="A3" s="20" t="s">
        <v>134</v>
      </c>
      <c r="B3" s="22" t="s">
        <v>138</v>
      </c>
    </row>
    <row r="4" spans="1:2" x14ac:dyDescent="0.3">
      <c r="A4" s="19" t="s">
        <v>142</v>
      </c>
      <c r="B4" s="21">
        <v>7524.1923076923076</v>
      </c>
    </row>
    <row r="5" spans="1:2" x14ac:dyDescent="0.3">
      <c r="A5" s="19" t="s">
        <v>140</v>
      </c>
      <c r="B5" s="21">
        <v>7863.3</v>
      </c>
    </row>
    <row r="6" spans="1:2" x14ac:dyDescent="0.3">
      <c r="A6" s="19" t="s">
        <v>139</v>
      </c>
      <c r="B6" s="21">
        <v>8948.2083333333339</v>
      </c>
    </row>
    <row r="7" spans="1:2" x14ac:dyDescent="0.3">
      <c r="A7" s="19" t="s">
        <v>145</v>
      </c>
      <c r="B7" s="21">
        <v>8230.7142857142862</v>
      </c>
    </row>
    <row r="8" spans="1:2" x14ac:dyDescent="0.3">
      <c r="A8" s="19" t="s">
        <v>144</v>
      </c>
      <c r="B8" s="21">
        <v>8951</v>
      </c>
    </row>
    <row r="9" spans="1:2" x14ac:dyDescent="0.3">
      <c r="A9" s="19" t="s">
        <v>149</v>
      </c>
      <c r="B9" s="21">
        <v>11346</v>
      </c>
    </row>
    <row r="10" spans="1:2" x14ac:dyDescent="0.3">
      <c r="A10" s="19" t="s">
        <v>150</v>
      </c>
      <c r="B10" s="21">
        <v>13011.666666666666</v>
      </c>
    </row>
    <row r="11" spans="1:2" x14ac:dyDescent="0.3">
      <c r="A11" s="19" t="s">
        <v>147</v>
      </c>
      <c r="B11" s="21">
        <v>5175</v>
      </c>
    </row>
    <row r="12" spans="1:2" x14ac:dyDescent="0.3">
      <c r="A12" s="19" t="s">
        <v>141</v>
      </c>
      <c r="B12" s="21">
        <v>6674</v>
      </c>
    </row>
    <row r="13" spans="1:2" x14ac:dyDescent="0.3">
      <c r="A13" s="19" t="s">
        <v>146</v>
      </c>
      <c r="B13" s="21">
        <v>4302</v>
      </c>
    </row>
    <row r="14" spans="1:2" x14ac:dyDescent="0.3">
      <c r="A14" s="19" t="s">
        <v>148</v>
      </c>
      <c r="B14" s="21">
        <v>11126.333333333334</v>
      </c>
    </row>
    <row r="15" spans="1:2" x14ac:dyDescent="0.3">
      <c r="A15" s="19" t="s">
        <v>143</v>
      </c>
      <c r="B15" s="21">
        <v>6697.5</v>
      </c>
    </row>
    <row r="16" spans="1:2" x14ac:dyDescent="0.3">
      <c r="A16" s="19" t="s">
        <v>135</v>
      </c>
      <c r="B16" s="21">
        <v>8227.6194690265493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20E8-B3DC-4B2E-A107-621D428299A6}">
  <dimension ref="A1:P114"/>
  <sheetViews>
    <sheetView workbookViewId="0">
      <pane ySplit="1" topLeftCell="A2" activePane="bottomLeft" state="frozen"/>
      <selection pane="bottomLeft" activeCell="F117" sqref="F117"/>
    </sheetView>
  </sheetViews>
  <sheetFormatPr defaultRowHeight="14.4" x14ac:dyDescent="0.3"/>
  <cols>
    <col min="1" max="1" width="11.44140625" style="14" bestFit="1" customWidth="1"/>
    <col min="2" max="2" width="11.44140625" style="14" customWidth="1"/>
    <col min="3" max="3" width="11.77734375" bestFit="1" customWidth="1"/>
    <col min="4" max="4" width="10.33203125" bestFit="1" customWidth="1"/>
    <col min="5" max="5" width="12.33203125" bestFit="1" customWidth="1"/>
    <col min="6" max="6" width="16.33203125" bestFit="1" customWidth="1"/>
    <col min="7" max="7" width="16.44140625" bestFit="1" customWidth="1"/>
    <col min="8" max="8" width="17.33203125" bestFit="1" customWidth="1"/>
    <col min="9" max="9" width="10.33203125" bestFit="1" customWidth="1"/>
    <col min="10" max="10" width="14.6640625" bestFit="1" customWidth="1"/>
    <col min="11" max="11" width="21.88671875" bestFit="1" customWidth="1"/>
    <col min="12" max="12" width="13.88671875" bestFit="1" customWidth="1"/>
    <col min="13" max="13" width="13.77734375" bestFit="1" customWidth="1"/>
  </cols>
  <sheetData>
    <row r="1" spans="1:16" s="12" customFormat="1" x14ac:dyDescent="0.3">
      <c r="A1" s="13" t="s">
        <v>0</v>
      </c>
      <c r="B1" s="13" t="s">
        <v>78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2" t="s">
        <v>75</v>
      </c>
    </row>
    <row r="2" spans="1:16" x14ac:dyDescent="0.3">
      <c r="A2" s="14">
        <v>45688</v>
      </c>
      <c r="B2" s="19">
        <f t="shared" ref="B2:B33" si="0">(MONTH(A2))</f>
        <v>1</v>
      </c>
      <c r="C2" t="s">
        <v>34</v>
      </c>
      <c r="D2">
        <v>4000</v>
      </c>
      <c r="E2">
        <v>74</v>
      </c>
      <c r="F2">
        <v>0.7</v>
      </c>
      <c r="G2">
        <v>6</v>
      </c>
      <c r="H2" t="s">
        <v>26</v>
      </c>
      <c r="I2" t="s">
        <v>37</v>
      </c>
      <c r="J2" t="s">
        <v>16</v>
      </c>
      <c r="K2" t="s">
        <v>79</v>
      </c>
      <c r="L2" t="s">
        <v>24</v>
      </c>
      <c r="M2" s="15">
        <f t="shared" ref="M2:M33" si="1">(D2/10000*0.4) + (E2/60*0.2) + (G2/8*0.2) + (F2/2*0.2)</f>
        <v>0.62666666666666671</v>
      </c>
      <c r="N2" s="16" t="s">
        <v>76</v>
      </c>
      <c r="O2" s="16"/>
      <c r="P2" s="16"/>
    </row>
    <row r="3" spans="1:16" x14ac:dyDescent="0.3">
      <c r="A3" s="14">
        <v>45660</v>
      </c>
      <c r="B3" s="19">
        <f t="shared" si="0"/>
        <v>1</v>
      </c>
      <c r="C3" t="s">
        <v>22</v>
      </c>
      <c r="D3">
        <v>6044</v>
      </c>
      <c r="E3">
        <v>113</v>
      </c>
      <c r="F3">
        <v>2.4</v>
      </c>
      <c r="G3">
        <v>5.8</v>
      </c>
      <c r="H3" t="s">
        <v>32</v>
      </c>
      <c r="I3" t="s">
        <v>27</v>
      </c>
      <c r="J3" t="s">
        <v>29</v>
      </c>
      <c r="K3" t="s">
        <v>80</v>
      </c>
      <c r="L3" t="s">
        <v>33</v>
      </c>
      <c r="M3" s="15">
        <f t="shared" si="1"/>
        <v>1.0034266666666667</v>
      </c>
      <c r="N3" s="17">
        <f>MIN(F2:F114)</f>
        <v>0.5</v>
      </c>
    </row>
    <row r="4" spans="1:16" x14ac:dyDescent="0.3">
      <c r="A4" s="14">
        <v>45677</v>
      </c>
      <c r="B4" s="19">
        <f t="shared" si="0"/>
        <v>1</v>
      </c>
      <c r="C4" t="s">
        <v>17</v>
      </c>
      <c r="D4">
        <v>4476</v>
      </c>
      <c r="E4">
        <v>49</v>
      </c>
      <c r="F4">
        <v>1.7</v>
      </c>
      <c r="G4">
        <v>8.6999999999999993</v>
      </c>
      <c r="H4" t="s">
        <v>32</v>
      </c>
      <c r="I4" t="s">
        <v>20</v>
      </c>
      <c r="J4" t="s">
        <v>21</v>
      </c>
      <c r="K4" t="s">
        <v>81</v>
      </c>
      <c r="L4" t="s">
        <v>2</v>
      </c>
      <c r="M4" s="15">
        <f t="shared" si="1"/>
        <v>0.72987333333333337</v>
      </c>
    </row>
    <row r="5" spans="1:16" x14ac:dyDescent="0.3">
      <c r="A5" s="14">
        <v>45683</v>
      </c>
      <c r="B5" s="19">
        <f t="shared" si="0"/>
        <v>1</v>
      </c>
      <c r="C5" t="s">
        <v>30</v>
      </c>
      <c r="D5">
        <v>6393</v>
      </c>
      <c r="E5">
        <v>106</v>
      </c>
      <c r="F5">
        <v>0.5</v>
      </c>
      <c r="G5">
        <v>6.5</v>
      </c>
      <c r="H5" t="s">
        <v>23</v>
      </c>
      <c r="I5" t="s">
        <v>38</v>
      </c>
      <c r="J5" t="s">
        <v>18</v>
      </c>
      <c r="K5" t="s">
        <v>82</v>
      </c>
      <c r="L5" t="s">
        <v>2</v>
      </c>
      <c r="M5" s="15">
        <f t="shared" si="1"/>
        <v>0.82155333333333336</v>
      </c>
      <c r="N5" s="16" t="s">
        <v>77</v>
      </c>
      <c r="O5" s="16"/>
      <c r="P5" s="16"/>
    </row>
    <row r="6" spans="1:16" x14ac:dyDescent="0.3">
      <c r="A6" s="14">
        <v>45668</v>
      </c>
      <c r="B6" s="19">
        <f t="shared" si="0"/>
        <v>1</v>
      </c>
      <c r="C6" t="s">
        <v>34</v>
      </c>
      <c r="D6">
        <v>12382</v>
      </c>
      <c r="E6">
        <v>10</v>
      </c>
      <c r="F6">
        <v>2.7</v>
      </c>
      <c r="G6">
        <v>5.2</v>
      </c>
      <c r="H6" t="s">
        <v>26</v>
      </c>
      <c r="I6" t="s">
        <v>20</v>
      </c>
      <c r="J6" t="s">
        <v>29</v>
      </c>
      <c r="K6" t="s">
        <v>83</v>
      </c>
      <c r="L6" t="s">
        <v>2</v>
      </c>
      <c r="M6" s="15">
        <f t="shared" si="1"/>
        <v>0.9286133333333334</v>
      </c>
      <c r="N6" s="18">
        <f>AVERAGE(M2:M114)</f>
        <v>0.87718000000000007</v>
      </c>
    </row>
    <row r="7" spans="1:16" x14ac:dyDescent="0.3">
      <c r="A7" s="14">
        <v>45678</v>
      </c>
      <c r="B7" s="19">
        <f t="shared" si="0"/>
        <v>1</v>
      </c>
      <c r="C7" t="s">
        <v>17</v>
      </c>
      <c r="D7">
        <v>7787</v>
      </c>
      <c r="E7">
        <v>99</v>
      </c>
      <c r="F7">
        <v>3.4</v>
      </c>
      <c r="G7">
        <v>6.6</v>
      </c>
      <c r="H7" t="s">
        <v>32</v>
      </c>
      <c r="I7" t="s">
        <v>38</v>
      </c>
      <c r="J7" t="s">
        <v>21</v>
      </c>
      <c r="K7" t="s">
        <v>83</v>
      </c>
      <c r="L7" t="s">
        <v>24</v>
      </c>
      <c r="M7" s="15">
        <f t="shared" si="1"/>
        <v>1.1464800000000002</v>
      </c>
    </row>
    <row r="8" spans="1:16" x14ac:dyDescent="0.3">
      <c r="A8" s="14">
        <v>45682</v>
      </c>
      <c r="B8" s="19">
        <f t="shared" si="0"/>
        <v>1</v>
      </c>
      <c r="C8" t="s">
        <v>13</v>
      </c>
      <c r="D8">
        <v>12427</v>
      </c>
      <c r="E8">
        <v>85</v>
      </c>
      <c r="F8">
        <v>2</v>
      </c>
      <c r="G8">
        <v>7.2</v>
      </c>
      <c r="H8" t="s">
        <v>26</v>
      </c>
      <c r="I8" t="s">
        <v>27</v>
      </c>
      <c r="J8" t="s">
        <v>18</v>
      </c>
      <c r="K8" t="s">
        <v>83</v>
      </c>
      <c r="L8" t="s">
        <v>1</v>
      </c>
      <c r="M8" s="15">
        <f t="shared" si="1"/>
        <v>1.1604133333333335</v>
      </c>
    </row>
    <row r="9" spans="1:16" x14ac:dyDescent="0.3">
      <c r="A9" s="14">
        <v>45671</v>
      </c>
      <c r="B9" s="19">
        <f t="shared" si="0"/>
        <v>1</v>
      </c>
      <c r="C9" t="s">
        <v>17</v>
      </c>
      <c r="D9">
        <v>4000</v>
      </c>
      <c r="E9">
        <v>101</v>
      </c>
      <c r="F9">
        <v>1.6</v>
      </c>
      <c r="G9">
        <v>8.5</v>
      </c>
      <c r="H9" t="s">
        <v>23</v>
      </c>
      <c r="I9" t="s">
        <v>36</v>
      </c>
      <c r="J9" t="s">
        <v>31</v>
      </c>
      <c r="K9" t="s">
        <v>84</v>
      </c>
      <c r="L9" t="s">
        <v>24</v>
      </c>
      <c r="M9" s="15">
        <f t="shared" si="1"/>
        <v>0.86916666666666675</v>
      </c>
    </row>
    <row r="10" spans="1:16" x14ac:dyDescent="0.3">
      <c r="A10" s="14">
        <v>45672</v>
      </c>
      <c r="B10" s="19">
        <f t="shared" si="0"/>
        <v>1</v>
      </c>
      <c r="C10" t="s">
        <v>34</v>
      </c>
      <c r="D10">
        <v>7030</v>
      </c>
      <c r="E10">
        <v>18</v>
      </c>
      <c r="F10">
        <v>2</v>
      </c>
      <c r="G10">
        <v>7.5</v>
      </c>
      <c r="H10" t="s">
        <v>26</v>
      </c>
      <c r="I10" t="s">
        <v>27</v>
      </c>
      <c r="J10" t="s">
        <v>21</v>
      </c>
      <c r="K10" t="s">
        <v>84</v>
      </c>
      <c r="L10" t="s">
        <v>1</v>
      </c>
      <c r="M10" s="15">
        <f t="shared" si="1"/>
        <v>0.7286999999999999</v>
      </c>
    </row>
    <row r="11" spans="1:16" x14ac:dyDescent="0.3">
      <c r="A11" s="14">
        <v>45685</v>
      </c>
      <c r="B11" s="19">
        <f t="shared" si="0"/>
        <v>1</v>
      </c>
      <c r="C11" t="s">
        <v>35</v>
      </c>
      <c r="D11">
        <v>6588</v>
      </c>
      <c r="E11">
        <v>72</v>
      </c>
      <c r="F11">
        <v>1.4</v>
      </c>
      <c r="G11">
        <v>5</v>
      </c>
      <c r="H11" t="s">
        <v>23</v>
      </c>
      <c r="I11" t="s">
        <v>20</v>
      </c>
      <c r="J11" t="s">
        <v>29</v>
      </c>
      <c r="K11" t="s">
        <v>84</v>
      </c>
      <c r="L11" t="s">
        <v>2</v>
      </c>
      <c r="M11" s="15">
        <f t="shared" si="1"/>
        <v>0.76851999999999998</v>
      </c>
    </row>
    <row r="12" spans="1:16" x14ac:dyDescent="0.3">
      <c r="A12" s="14">
        <v>45670</v>
      </c>
      <c r="B12" s="19">
        <f t="shared" si="0"/>
        <v>1</v>
      </c>
      <c r="C12" t="s">
        <v>30</v>
      </c>
      <c r="D12">
        <v>11414</v>
      </c>
      <c r="E12">
        <v>95</v>
      </c>
      <c r="F12">
        <v>3.1</v>
      </c>
      <c r="G12">
        <v>7.1</v>
      </c>
      <c r="H12" t="s">
        <v>23</v>
      </c>
      <c r="I12" t="s">
        <v>15</v>
      </c>
      <c r="J12" t="s">
        <v>16</v>
      </c>
      <c r="K12" t="s">
        <v>85</v>
      </c>
      <c r="L12" t="s">
        <v>2</v>
      </c>
      <c r="M12" s="15">
        <f t="shared" si="1"/>
        <v>1.2607266666666668</v>
      </c>
    </row>
    <row r="13" spans="1:16" x14ac:dyDescent="0.3">
      <c r="A13" s="14">
        <v>45686</v>
      </c>
      <c r="B13" s="19">
        <f t="shared" si="0"/>
        <v>1</v>
      </c>
      <c r="C13" t="s">
        <v>25</v>
      </c>
      <c r="D13">
        <v>4233</v>
      </c>
      <c r="E13">
        <v>33</v>
      </c>
      <c r="F13">
        <v>1.1000000000000001</v>
      </c>
      <c r="G13">
        <v>7.4</v>
      </c>
      <c r="H13" t="s">
        <v>14</v>
      </c>
      <c r="I13" t="s">
        <v>27</v>
      </c>
      <c r="J13" t="s">
        <v>18</v>
      </c>
      <c r="K13" t="s">
        <v>86</v>
      </c>
      <c r="L13" t="s">
        <v>1</v>
      </c>
      <c r="M13" s="15">
        <f t="shared" si="1"/>
        <v>0.57432000000000005</v>
      </c>
    </row>
    <row r="14" spans="1:16" x14ac:dyDescent="0.3">
      <c r="A14" s="14">
        <v>45684</v>
      </c>
      <c r="B14" s="19">
        <f t="shared" si="0"/>
        <v>1</v>
      </c>
      <c r="C14" t="s">
        <v>30</v>
      </c>
      <c r="D14">
        <v>10935</v>
      </c>
      <c r="E14">
        <v>39</v>
      </c>
      <c r="F14">
        <v>3.4</v>
      </c>
      <c r="G14">
        <v>8.6</v>
      </c>
      <c r="H14" t="s">
        <v>32</v>
      </c>
      <c r="I14" t="s">
        <v>20</v>
      </c>
      <c r="J14" t="s">
        <v>21</v>
      </c>
      <c r="K14" t="s">
        <v>87</v>
      </c>
      <c r="L14" t="s">
        <v>33</v>
      </c>
      <c r="M14" s="15">
        <f t="shared" si="1"/>
        <v>1.1224000000000001</v>
      </c>
    </row>
    <row r="15" spans="1:16" x14ac:dyDescent="0.3">
      <c r="A15" s="14">
        <v>45673</v>
      </c>
      <c r="B15" s="19">
        <f t="shared" si="0"/>
        <v>1</v>
      </c>
      <c r="C15" t="s">
        <v>22</v>
      </c>
      <c r="D15">
        <v>3353</v>
      </c>
      <c r="E15">
        <v>67</v>
      </c>
      <c r="F15">
        <v>0.5</v>
      </c>
      <c r="G15">
        <v>5.3</v>
      </c>
      <c r="H15" t="s">
        <v>23</v>
      </c>
      <c r="I15" t="s">
        <v>37</v>
      </c>
      <c r="J15" t="s">
        <v>16</v>
      </c>
      <c r="K15" t="s">
        <v>88</v>
      </c>
      <c r="L15" t="s">
        <v>2</v>
      </c>
      <c r="M15" s="15">
        <f t="shared" si="1"/>
        <v>0.5399533333333334</v>
      </c>
    </row>
    <row r="16" spans="1:16" x14ac:dyDescent="0.3">
      <c r="A16" s="14">
        <v>45681</v>
      </c>
      <c r="B16" s="19">
        <f t="shared" si="0"/>
        <v>1</v>
      </c>
      <c r="C16" t="s">
        <v>25</v>
      </c>
      <c r="D16">
        <v>2456</v>
      </c>
      <c r="E16">
        <v>50</v>
      </c>
      <c r="F16">
        <v>1</v>
      </c>
      <c r="G16">
        <v>4.0999999999999996</v>
      </c>
      <c r="H16" t="s">
        <v>14</v>
      </c>
      <c r="I16" t="s">
        <v>15</v>
      </c>
      <c r="J16" t="s">
        <v>16</v>
      </c>
      <c r="K16" t="s">
        <v>88</v>
      </c>
      <c r="L16" t="s">
        <v>1</v>
      </c>
      <c r="M16" s="15">
        <f t="shared" si="1"/>
        <v>0.46740666666666664</v>
      </c>
    </row>
    <row r="17" spans="1:13" x14ac:dyDescent="0.3">
      <c r="A17" s="14">
        <v>45663</v>
      </c>
      <c r="B17" s="19">
        <f t="shared" si="0"/>
        <v>1</v>
      </c>
      <c r="C17" t="s">
        <v>19</v>
      </c>
      <c r="D17">
        <v>9055</v>
      </c>
      <c r="E17">
        <v>11</v>
      </c>
      <c r="F17">
        <v>1.8</v>
      </c>
      <c r="G17">
        <v>5</v>
      </c>
      <c r="H17" t="s">
        <v>26</v>
      </c>
      <c r="I17" t="s">
        <v>28</v>
      </c>
      <c r="J17" t="s">
        <v>29</v>
      </c>
      <c r="K17" t="s">
        <v>89</v>
      </c>
      <c r="L17" t="s">
        <v>1</v>
      </c>
      <c r="M17" s="15">
        <f t="shared" si="1"/>
        <v>0.70386666666666675</v>
      </c>
    </row>
    <row r="18" spans="1:13" x14ac:dyDescent="0.3">
      <c r="A18" s="14">
        <v>45658</v>
      </c>
      <c r="B18" s="19">
        <f t="shared" si="0"/>
        <v>1</v>
      </c>
      <c r="C18" t="s">
        <v>13</v>
      </c>
      <c r="D18">
        <v>8770</v>
      </c>
      <c r="E18">
        <v>61</v>
      </c>
      <c r="F18">
        <v>0.5</v>
      </c>
      <c r="G18">
        <v>7.7</v>
      </c>
      <c r="H18" t="s">
        <v>14</v>
      </c>
      <c r="I18" t="s">
        <v>15</v>
      </c>
      <c r="J18" t="s">
        <v>16</v>
      </c>
      <c r="K18" t="s">
        <v>90</v>
      </c>
      <c r="L18" t="s">
        <v>1</v>
      </c>
      <c r="M18" s="15">
        <f t="shared" si="1"/>
        <v>0.79663333333333342</v>
      </c>
    </row>
    <row r="19" spans="1:13" x14ac:dyDescent="0.3">
      <c r="A19" s="14">
        <v>45675</v>
      </c>
      <c r="B19" s="19">
        <f t="shared" si="0"/>
        <v>1</v>
      </c>
      <c r="C19" t="s">
        <v>25</v>
      </c>
      <c r="D19">
        <v>12947</v>
      </c>
      <c r="E19">
        <v>26</v>
      </c>
      <c r="F19">
        <v>2.7</v>
      </c>
      <c r="G19">
        <v>5.8</v>
      </c>
      <c r="H19" t="s">
        <v>23</v>
      </c>
      <c r="I19" t="s">
        <v>28</v>
      </c>
      <c r="J19" t="s">
        <v>29</v>
      </c>
      <c r="K19" t="s">
        <v>91</v>
      </c>
      <c r="L19" t="s">
        <v>1</v>
      </c>
      <c r="M19" s="15">
        <f t="shared" si="1"/>
        <v>1.0195466666666668</v>
      </c>
    </row>
    <row r="20" spans="1:13" x14ac:dyDescent="0.3">
      <c r="A20" s="14">
        <v>45676</v>
      </c>
      <c r="B20" s="19">
        <f t="shared" si="0"/>
        <v>1</v>
      </c>
      <c r="C20" t="s">
        <v>35</v>
      </c>
      <c r="D20">
        <v>13089</v>
      </c>
      <c r="E20">
        <v>89</v>
      </c>
      <c r="F20">
        <v>0.6</v>
      </c>
      <c r="G20">
        <v>7</v>
      </c>
      <c r="H20" t="s">
        <v>32</v>
      </c>
      <c r="I20" t="s">
        <v>38</v>
      </c>
      <c r="J20" t="s">
        <v>31</v>
      </c>
      <c r="K20" t="s">
        <v>92</v>
      </c>
      <c r="L20" t="s">
        <v>33</v>
      </c>
      <c r="M20" s="15">
        <f t="shared" si="1"/>
        <v>1.0552266666666668</v>
      </c>
    </row>
    <row r="21" spans="1:13" x14ac:dyDescent="0.3">
      <c r="A21" s="14">
        <v>45674</v>
      </c>
      <c r="B21" s="19">
        <f t="shared" si="0"/>
        <v>1</v>
      </c>
      <c r="C21" t="s">
        <v>30</v>
      </c>
      <c r="D21">
        <v>2354</v>
      </c>
      <c r="E21">
        <v>110</v>
      </c>
      <c r="F21">
        <v>1.5</v>
      </c>
      <c r="G21">
        <v>7.2</v>
      </c>
      <c r="H21" t="s">
        <v>23</v>
      </c>
      <c r="I21" t="s">
        <v>15</v>
      </c>
      <c r="J21" t="s">
        <v>31</v>
      </c>
      <c r="K21" t="s">
        <v>93</v>
      </c>
      <c r="L21" t="s">
        <v>24</v>
      </c>
      <c r="M21" s="15">
        <f t="shared" si="1"/>
        <v>0.79082666666666679</v>
      </c>
    </row>
    <row r="22" spans="1:13" x14ac:dyDescent="0.3">
      <c r="A22" s="14">
        <v>45665</v>
      </c>
      <c r="B22" s="19">
        <f t="shared" si="0"/>
        <v>1</v>
      </c>
      <c r="C22" t="s">
        <v>30</v>
      </c>
      <c r="D22">
        <v>6359</v>
      </c>
      <c r="E22">
        <v>69</v>
      </c>
      <c r="F22">
        <v>2.1</v>
      </c>
      <c r="G22">
        <v>4.7</v>
      </c>
      <c r="H22" t="s">
        <v>26</v>
      </c>
      <c r="I22" t="s">
        <v>27</v>
      </c>
      <c r="J22" t="s">
        <v>21</v>
      </c>
      <c r="K22" t="s">
        <v>94</v>
      </c>
      <c r="L22" t="s">
        <v>24</v>
      </c>
      <c r="M22" s="15">
        <f t="shared" si="1"/>
        <v>0.81186000000000003</v>
      </c>
    </row>
    <row r="23" spans="1:13" x14ac:dyDescent="0.3">
      <c r="A23" s="14">
        <v>45659</v>
      </c>
      <c r="B23" s="19">
        <f t="shared" si="0"/>
        <v>1</v>
      </c>
      <c r="C23" t="s">
        <v>25</v>
      </c>
      <c r="D23">
        <v>5646</v>
      </c>
      <c r="E23">
        <v>34</v>
      </c>
      <c r="F23">
        <v>0.5</v>
      </c>
      <c r="G23">
        <v>8.9</v>
      </c>
      <c r="H23" t="s">
        <v>14</v>
      </c>
      <c r="I23" t="s">
        <v>36</v>
      </c>
      <c r="J23" t="s">
        <v>29</v>
      </c>
      <c r="K23" t="s">
        <v>95</v>
      </c>
      <c r="L23" t="s">
        <v>2</v>
      </c>
      <c r="M23" s="15">
        <f t="shared" si="1"/>
        <v>0.6116733333333334</v>
      </c>
    </row>
    <row r="24" spans="1:13" x14ac:dyDescent="0.3">
      <c r="A24" s="14">
        <v>45679</v>
      </c>
      <c r="B24" s="19">
        <f t="shared" si="0"/>
        <v>1</v>
      </c>
      <c r="C24" t="s">
        <v>25</v>
      </c>
      <c r="D24">
        <v>8900</v>
      </c>
      <c r="E24">
        <v>108</v>
      </c>
      <c r="F24">
        <v>2.6</v>
      </c>
      <c r="G24">
        <v>8.1999999999999993</v>
      </c>
      <c r="H24" t="s">
        <v>23</v>
      </c>
      <c r="I24" t="s">
        <v>38</v>
      </c>
      <c r="J24" t="s">
        <v>21</v>
      </c>
      <c r="K24" t="s">
        <v>96</v>
      </c>
      <c r="L24" t="s">
        <v>2</v>
      </c>
      <c r="M24" s="15">
        <f t="shared" si="1"/>
        <v>1.181</v>
      </c>
    </row>
    <row r="25" spans="1:13" x14ac:dyDescent="0.3">
      <c r="A25" s="14">
        <v>45661</v>
      </c>
      <c r="B25" s="19">
        <f t="shared" si="0"/>
        <v>1</v>
      </c>
      <c r="C25" t="s">
        <v>25</v>
      </c>
      <c r="D25">
        <v>9470</v>
      </c>
      <c r="E25">
        <v>72</v>
      </c>
      <c r="F25">
        <v>1.7</v>
      </c>
      <c r="G25">
        <v>8.3000000000000007</v>
      </c>
      <c r="H25" t="s">
        <v>23</v>
      </c>
      <c r="I25" t="s">
        <v>28</v>
      </c>
      <c r="J25" t="s">
        <v>31</v>
      </c>
      <c r="K25" t="s">
        <v>97</v>
      </c>
      <c r="L25" t="s">
        <v>2</v>
      </c>
      <c r="M25" s="15">
        <f t="shared" si="1"/>
        <v>0.99630000000000007</v>
      </c>
    </row>
    <row r="26" spans="1:13" x14ac:dyDescent="0.3">
      <c r="A26" s="14">
        <v>45659</v>
      </c>
      <c r="B26" s="19">
        <f t="shared" si="0"/>
        <v>1</v>
      </c>
      <c r="C26" t="s">
        <v>17</v>
      </c>
      <c r="D26">
        <v>9822</v>
      </c>
      <c r="E26">
        <v>31</v>
      </c>
      <c r="F26">
        <v>0.7</v>
      </c>
      <c r="G26">
        <v>7.6</v>
      </c>
      <c r="H26" t="s">
        <v>14</v>
      </c>
      <c r="I26" t="s">
        <v>15</v>
      </c>
      <c r="J26" t="s">
        <v>18</v>
      </c>
      <c r="K26" t="s">
        <v>98</v>
      </c>
      <c r="L26" t="s">
        <v>2</v>
      </c>
      <c r="M26" s="15">
        <f t="shared" si="1"/>
        <v>0.75621333333333329</v>
      </c>
    </row>
    <row r="27" spans="1:13" x14ac:dyDescent="0.3">
      <c r="A27" s="14">
        <v>45680</v>
      </c>
      <c r="B27" s="19">
        <f t="shared" si="0"/>
        <v>1</v>
      </c>
      <c r="C27" t="s">
        <v>35</v>
      </c>
      <c r="D27">
        <v>5699</v>
      </c>
      <c r="E27">
        <v>93</v>
      </c>
      <c r="F27">
        <v>2.2000000000000002</v>
      </c>
      <c r="G27">
        <v>5.9</v>
      </c>
      <c r="H27" t="s">
        <v>23</v>
      </c>
      <c r="I27" t="s">
        <v>20</v>
      </c>
      <c r="J27" t="s">
        <v>16</v>
      </c>
      <c r="K27" t="s">
        <v>98</v>
      </c>
      <c r="L27" t="s">
        <v>24</v>
      </c>
      <c r="M27" s="15">
        <f t="shared" si="1"/>
        <v>0.90545999999999993</v>
      </c>
    </row>
    <row r="28" spans="1:13" x14ac:dyDescent="0.3">
      <c r="A28" s="14">
        <v>45715</v>
      </c>
      <c r="B28" s="19">
        <f t="shared" si="0"/>
        <v>2</v>
      </c>
      <c r="C28" t="s">
        <v>30</v>
      </c>
      <c r="D28">
        <v>5500</v>
      </c>
      <c r="E28">
        <v>107</v>
      </c>
      <c r="F28">
        <v>0.6</v>
      </c>
      <c r="G28">
        <v>4.7</v>
      </c>
      <c r="H28" t="s">
        <v>23</v>
      </c>
      <c r="I28" t="s">
        <v>15</v>
      </c>
      <c r="J28" t="s">
        <v>16</v>
      </c>
      <c r="K28" t="s">
        <v>99</v>
      </c>
      <c r="L28" t="s">
        <v>24</v>
      </c>
      <c r="M28" s="15">
        <f t="shared" si="1"/>
        <v>0.75416666666666665</v>
      </c>
    </row>
    <row r="29" spans="1:13" x14ac:dyDescent="0.3">
      <c r="A29" s="14">
        <v>45694</v>
      </c>
      <c r="B29" s="19">
        <f t="shared" si="0"/>
        <v>2</v>
      </c>
      <c r="C29" t="s">
        <v>13</v>
      </c>
      <c r="D29">
        <v>14784</v>
      </c>
      <c r="E29">
        <v>95</v>
      </c>
      <c r="F29">
        <v>0.5</v>
      </c>
      <c r="G29">
        <v>4.5999999999999996</v>
      </c>
      <c r="H29" t="s">
        <v>14</v>
      </c>
      <c r="I29" t="s">
        <v>15</v>
      </c>
      <c r="J29" t="s">
        <v>31</v>
      </c>
      <c r="K29" t="s">
        <v>100</v>
      </c>
      <c r="L29" t="s">
        <v>33</v>
      </c>
      <c r="M29" s="15">
        <f t="shared" si="1"/>
        <v>1.0730266666666666</v>
      </c>
    </row>
    <row r="30" spans="1:13" x14ac:dyDescent="0.3">
      <c r="A30" s="14">
        <v>45711</v>
      </c>
      <c r="B30" s="19">
        <f t="shared" si="0"/>
        <v>2</v>
      </c>
      <c r="C30" t="s">
        <v>30</v>
      </c>
      <c r="D30">
        <v>2853</v>
      </c>
      <c r="E30">
        <v>105</v>
      </c>
      <c r="F30">
        <v>0.7</v>
      </c>
      <c r="G30">
        <v>6</v>
      </c>
      <c r="H30" t="s">
        <v>23</v>
      </c>
      <c r="I30" t="s">
        <v>36</v>
      </c>
      <c r="J30" t="s">
        <v>16</v>
      </c>
      <c r="K30" t="s">
        <v>101</v>
      </c>
      <c r="L30" t="s">
        <v>33</v>
      </c>
      <c r="M30" s="15">
        <f t="shared" si="1"/>
        <v>0.68411999999999995</v>
      </c>
    </row>
    <row r="31" spans="1:13" x14ac:dyDescent="0.3">
      <c r="A31" s="14">
        <v>45710</v>
      </c>
      <c r="B31" s="19">
        <f t="shared" si="0"/>
        <v>2</v>
      </c>
      <c r="C31" t="s">
        <v>13</v>
      </c>
      <c r="D31">
        <v>13204</v>
      </c>
      <c r="E31">
        <v>27</v>
      </c>
      <c r="F31">
        <v>1</v>
      </c>
      <c r="G31">
        <v>5.0999999999999996</v>
      </c>
      <c r="H31" t="s">
        <v>23</v>
      </c>
      <c r="I31" t="s">
        <v>38</v>
      </c>
      <c r="J31" t="s">
        <v>29</v>
      </c>
      <c r="K31" t="s">
        <v>85</v>
      </c>
      <c r="L31" t="s">
        <v>33</v>
      </c>
      <c r="M31" s="15">
        <f t="shared" si="1"/>
        <v>0.84565999999999997</v>
      </c>
    </row>
    <row r="32" spans="1:13" x14ac:dyDescent="0.3">
      <c r="A32" s="14">
        <v>45703</v>
      </c>
      <c r="B32" s="19">
        <f t="shared" si="0"/>
        <v>2</v>
      </c>
      <c r="C32" t="s">
        <v>34</v>
      </c>
      <c r="D32">
        <v>6986</v>
      </c>
      <c r="E32">
        <v>25</v>
      </c>
      <c r="F32">
        <v>1.8</v>
      </c>
      <c r="G32">
        <v>5.5</v>
      </c>
      <c r="H32" t="s">
        <v>26</v>
      </c>
      <c r="I32" t="s">
        <v>36</v>
      </c>
      <c r="J32" t="s">
        <v>21</v>
      </c>
      <c r="K32" t="s">
        <v>102</v>
      </c>
      <c r="L32" t="s">
        <v>2</v>
      </c>
      <c r="M32" s="15">
        <f t="shared" si="1"/>
        <v>0.6802733333333334</v>
      </c>
    </row>
    <row r="33" spans="1:13" x14ac:dyDescent="0.3">
      <c r="A33" s="14">
        <v>45716</v>
      </c>
      <c r="B33" s="19">
        <f t="shared" si="0"/>
        <v>2</v>
      </c>
      <c r="C33" t="s">
        <v>22</v>
      </c>
      <c r="D33">
        <v>8690</v>
      </c>
      <c r="E33">
        <v>110</v>
      </c>
      <c r="F33">
        <v>2.7</v>
      </c>
      <c r="G33">
        <v>7.8</v>
      </c>
      <c r="H33" t="s">
        <v>23</v>
      </c>
      <c r="I33" t="s">
        <v>15</v>
      </c>
      <c r="J33" t="s">
        <v>31</v>
      </c>
      <c r="K33" t="s">
        <v>87</v>
      </c>
      <c r="L33" t="s">
        <v>33</v>
      </c>
      <c r="M33" s="15">
        <f t="shared" si="1"/>
        <v>1.1792666666666667</v>
      </c>
    </row>
    <row r="34" spans="1:13" x14ac:dyDescent="0.3">
      <c r="A34" s="14">
        <v>45691</v>
      </c>
      <c r="B34" s="19">
        <f t="shared" ref="B34:B65" si="2">(MONTH(A34))</f>
        <v>2</v>
      </c>
      <c r="C34" t="s">
        <v>25</v>
      </c>
      <c r="D34">
        <v>4000</v>
      </c>
      <c r="E34">
        <v>117</v>
      </c>
      <c r="F34">
        <v>2.2000000000000002</v>
      </c>
      <c r="G34">
        <v>8.4</v>
      </c>
      <c r="H34" t="s">
        <v>32</v>
      </c>
      <c r="I34" t="s">
        <v>38</v>
      </c>
      <c r="J34" t="s">
        <v>21</v>
      </c>
      <c r="K34" t="s">
        <v>103</v>
      </c>
      <c r="L34" t="s">
        <v>2</v>
      </c>
      <c r="M34" s="15">
        <f t="shared" ref="M34:M65" si="3">(D34/10000*0.4) + (E34/60*0.2) + (G34/8*0.2) + (F34/2*0.2)</f>
        <v>0.98</v>
      </c>
    </row>
    <row r="35" spans="1:13" x14ac:dyDescent="0.3">
      <c r="A35" s="14">
        <v>45713</v>
      </c>
      <c r="B35" s="19">
        <f t="shared" si="2"/>
        <v>2</v>
      </c>
      <c r="C35" t="s">
        <v>35</v>
      </c>
      <c r="D35">
        <v>12648</v>
      </c>
      <c r="E35">
        <v>55</v>
      </c>
      <c r="F35">
        <v>0.7</v>
      </c>
      <c r="G35">
        <v>8.6999999999999993</v>
      </c>
      <c r="H35" t="s">
        <v>23</v>
      </c>
      <c r="I35" t="s">
        <v>36</v>
      </c>
      <c r="J35" t="s">
        <v>16</v>
      </c>
      <c r="K35" t="s">
        <v>104</v>
      </c>
      <c r="L35" t="s">
        <v>2</v>
      </c>
      <c r="M35" s="15">
        <f t="shared" si="3"/>
        <v>0.97675333333333336</v>
      </c>
    </row>
    <row r="36" spans="1:13" x14ac:dyDescent="0.3">
      <c r="A36" s="14">
        <v>45704</v>
      </c>
      <c r="B36" s="19">
        <f t="shared" si="2"/>
        <v>2</v>
      </c>
      <c r="C36" t="s">
        <v>30</v>
      </c>
      <c r="D36">
        <v>6661</v>
      </c>
      <c r="E36">
        <v>67</v>
      </c>
      <c r="F36">
        <v>0.7</v>
      </c>
      <c r="G36">
        <v>6.7</v>
      </c>
      <c r="H36" t="s">
        <v>23</v>
      </c>
      <c r="I36" t="s">
        <v>20</v>
      </c>
      <c r="J36" t="s">
        <v>18</v>
      </c>
      <c r="K36" t="s">
        <v>105</v>
      </c>
      <c r="L36" t="s">
        <v>24</v>
      </c>
      <c r="M36" s="15">
        <f t="shared" si="3"/>
        <v>0.72727333333333333</v>
      </c>
    </row>
    <row r="37" spans="1:13" x14ac:dyDescent="0.3">
      <c r="A37" s="14">
        <v>45712</v>
      </c>
      <c r="B37" s="19">
        <f t="shared" si="2"/>
        <v>2</v>
      </c>
      <c r="C37" t="s">
        <v>25</v>
      </c>
      <c r="D37">
        <v>2039</v>
      </c>
      <c r="E37">
        <v>101</v>
      </c>
      <c r="F37">
        <v>1.6</v>
      </c>
      <c r="G37">
        <v>5.3</v>
      </c>
      <c r="H37" t="s">
        <v>26</v>
      </c>
      <c r="I37" t="s">
        <v>38</v>
      </c>
      <c r="J37" t="s">
        <v>18</v>
      </c>
      <c r="K37" t="s">
        <v>106</v>
      </c>
      <c r="L37" t="s">
        <v>2</v>
      </c>
      <c r="M37" s="15">
        <f t="shared" si="3"/>
        <v>0.71072666666666673</v>
      </c>
    </row>
    <row r="38" spans="1:13" x14ac:dyDescent="0.3">
      <c r="A38" s="14">
        <v>45709</v>
      </c>
      <c r="B38" s="19">
        <f t="shared" si="2"/>
        <v>2</v>
      </c>
      <c r="C38" t="s">
        <v>35</v>
      </c>
      <c r="D38">
        <v>4000</v>
      </c>
      <c r="E38">
        <v>15</v>
      </c>
      <c r="F38">
        <v>2.9</v>
      </c>
      <c r="G38">
        <v>8.9</v>
      </c>
      <c r="H38" t="s">
        <v>32</v>
      </c>
      <c r="I38" t="s">
        <v>28</v>
      </c>
      <c r="J38" t="s">
        <v>21</v>
      </c>
      <c r="K38" t="s">
        <v>107</v>
      </c>
      <c r="L38" t="s">
        <v>2</v>
      </c>
      <c r="M38" s="15">
        <f t="shared" si="3"/>
        <v>0.72250000000000003</v>
      </c>
    </row>
    <row r="39" spans="1:13" x14ac:dyDescent="0.3">
      <c r="A39" s="14">
        <v>45705</v>
      </c>
      <c r="B39" s="19">
        <f t="shared" si="2"/>
        <v>2</v>
      </c>
      <c r="C39" t="s">
        <v>17</v>
      </c>
      <c r="D39">
        <v>4039</v>
      </c>
      <c r="E39">
        <v>26</v>
      </c>
      <c r="F39">
        <v>0.8</v>
      </c>
      <c r="G39">
        <v>4.4000000000000004</v>
      </c>
      <c r="H39" t="s">
        <v>23</v>
      </c>
      <c r="I39" t="s">
        <v>38</v>
      </c>
      <c r="J39" t="s">
        <v>21</v>
      </c>
      <c r="K39" t="s">
        <v>108</v>
      </c>
      <c r="L39" t="s">
        <v>1</v>
      </c>
      <c r="M39" s="15">
        <f t="shared" si="3"/>
        <v>0.43822666666666671</v>
      </c>
    </row>
    <row r="40" spans="1:13" x14ac:dyDescent="0.3">
      <c r="A40" s="14">
        <v>45691</v>
      </c>
      <c r="B40" s="19">
        <f t="shared" si="2"/>
        <v>2</v>
      </c>
      <c r="C40" t="s">
        <v>22</v>
      </c>
      <c r="D40">
        <v>8579</v>
      </c>
      <c r="E40">
        <v>61</v>
      </c>
      <c r="F40">
        <v>0.9</v>
      </c>
      <c r="G40">
        <v>8.8000000000000007</v>
      </c>
      <c r="H40" t="s">
        <v>23</v>
      </c>
      <c r="I40" t="s">
        <v>20</v>
      </c>
      <c r="J40" t="s">
        <v>21</v>
      </c>
      <c r="K40" t="s">
        <v>109</v>
      </c>
      <c r="L40" t="s">
        <v>33</v>
      </c>
      <c r="M40" s="15">
        <f t="shared" si="3"/>
        <v>0.85649333333333344</v>
      </c>
    </row>
    <row r="41" spans="1:13" x14ac:dyDescent="0.3">
      <c r="A41" s="14">
        <v>45708</v>
      </c>
      <c r="B41" s="19">
        <f t="shared" si="2"/>
        <v>2</v>
      </c>
      <c r="C41" t="s">
        <v>34</v>
      </c>
      <c r="D41">
        <v>8119</v>
      </c>
      <c r="E41">
        <v>81</v>
      </c>
      <c r="F41">
        <v>0.9</v>
      </c>
      <c r="G41">
        <v>7.2</v>
      </c>
      <c r="H41" t="s">
        <v>26</v>
      </c>
      <c r="I41" t="s">
        <v>36</v>
      </c>
      <c r="J41" t="s">
        <v>16</v>
      </c>
      <c r="K41" t="s">
        <v>110</v>
      </c>
      <c r="L41" t="s">
        <v>24</v>
      </c>
      <c r="M41" s="15">
        <f t="shared" si="3"/>
        <v>0.86475999999999997</v>
      </c>
    </row>
    <row r="42" spans="1:13" x14ac:dyDescent="0.3">
      <c r="A42" s="14">
        <v>45701</v>
      </c>
      <c r="B42" s="19">
        <f t="shared" si="2"/>
        <v>2</v>
      </c>
      <c r="C42" t="s">
        <v>19</v>
      </c>
      <c r="D42">
        <v>13824</v>
      </c>
      <c r="E42">
        <v>21</v>
      </c>
      <c r="F42">
        <v>1.8</v>
      </c>
      <c r="G42">
        <v>7.8</v>
      </c>
      <c r="H42" t="s">
        <v>23</v>
      </c>
      <c r="I42" t="s">
        <v>36</v>
      </c>
      <c r="J42" t="s">
        <v>31</v>
      </c>
      <c r="K42" t="s">
        <v>111</v>
      </c>
      <c r="L42" t="s">
        <v>2</v>
      </c>
      <c r="M42" s="15">
        <f t="shared" si="3"/>
        <v>0.99796000000000007</v>
      </c>
    </row>
    <row r="43" spans="1:13" x14ac:dyDescent="0.3">
      <c r="A43" s="14">
        <v>45706</v>
      </c>
      <c r="B43" s="19">
        <f t="shared" si="2"/>
        <v>2</v>
      </c>
      <c r="C43" t="s">
        <v>13</v>
      </c>
      <c r="D43">
        <v>12078</v>
      </c>
      <c r="E43">
        <v>17</v>
      </c>
      <c r="F43">
        <v>1.6</v>
      </c>
      <c r="G43">
        <v>5.9</v>
      </c>
      <c r="H43" t="s">
        <v>23</v>
      </c>
      <c r="I43" t="s">
        <v>37</v>
      </c>
      <c r="J43" t="s">
        <v>21</v>
      </c>
      <c r="K43" t="s">
        <v>112</v>
      </c>
      <c r="L43" t="s">
        <v>1</v>
      </c>
      <c r="M43" s="15">
        <f t="shared" si="3"/>
        <v>0.84728666666666663</v>
      </c>
    </row>
    <row r="44" spans="1:13" x14ac:dyDescent="0.3">
      <c r="A44" s="14">
        <v>45702</v>
      </c>
      <c r="B44" s="19">
        <f t="shared" si="2"/>
        <v>2</v>
      </c>
      <c r="C44" t="s">
        <v>35</v>
      </c>
      <c r="D44">
        <v>2198</v>
      </c>
      <c r="E44">
        <v>28</v>
      </c>
      <c r="F44">
        <v>1.7</v>
      </c>
      <c r="G44">
        <v>4.0999999999999996</v>
      </c>
      <c r="H44" t="s">
        <v>32</v>
      </c>
      <c r="I44" t="s">
        <v>28</v>
      </c>
      <c r="J44" t="s">
        <v>31</v>
      </c>
      <c r="K44" t="s">
        <v>113</v>
      </c>
      <c r="L44" t="s">
        <v>24</v>
      </c>
      <c r="M44" s="15">
        <f t="shared" si="3"/>
        <v>0.45375333333333334</v>
      </c>
    </row>
    <row r="45" spans="1:13" x14ac:dyDescent="0.3">
      <c r="A45" s="14">
        <v>45707</v>
      </c>
      <c r="B45" s="19">
        <f t="shared" si="2"/>
        <v>2</v>
      </c>
      <c r="C45" t="s">
        <v>22</v>
      </c>
      <c r="D45">
        <v>8088</v>
      </c>
      <c r="E45">
        <v>117</v>
      </c>
      <c r="F45">
        <v>0.5</v>
      </c>
      <c r="G45">
        <v>6.1</v>
      </c>
      <c r="H45" t="s">
        <v>23</v>
      </c>
      <c r="I45" t="s">
        <v>37</v>
      </c>
      <c r="J45" t="s">
        <v>18</v>
      </c>
      <c r="K45" t="s">
        <v>113</v>
      </c>
      <c r="L45" t="s">
        <v>33</v>
      </c>
      <c r="M45" s="15">
        <f t="shared" si="3"/>
        <v>0.91602000000000006</v>
      </c>
    </row>
    <row r="46" spans="1:13" x14ac:dyDescent="0.3">
      <c r="A46" s="14">
        <v>45690</v>
      </c>
      <c r="B46" s="19">
        <f t="shared" si="2"/>
        <v>2</v>
      </c>
      <c r="C46" t="s">
        <v>22</v>
      </c>
      <c r="D46">
        <v>12352</v>
      </c>
      <c r="E46">
        <v>106</v>
      </c>
      <c r="F46">
        <v>3</v>
      </c>
      <c r="G46">
        <v>5.4</v>
      </c>
      <c r="H46" t="s">
        <v>23</v>
      </c>
      <c r="I46" t="s">
        <v>38</v>
      </c>
      <c r="J46" t="s">
        <v>29</v>
      </c>
      <c r="K46" t="s">
        <v>114</v>
      </c>
      <c r="L46" t="s">
        <v>2</v>
      </c>
      <c r="M46" s="15">
        <f t="shared" si="3"/>
        <v>1.2824133333333334</v>
      </c>
    </row>
    <row r="47" spans="1:13" x14ac:dyDescent="0.3">
      <c r="A47" s="14">
        <v>45714</v>
      </c>
      <c r="B47" s="19">
        <f t="shared" si="2"/>
        <v>2</v>
      </c>
      <c r="C47" t="s">
        <v>17</v>
      </c>
      <c r="D47">
        <v>6624</v>
      </c>
      <c r="E47">
        <v>42</v>
      </c>
      <c r="F47">
        <v>2.8</v>
      </c>
      <c r="G47">
        <v>6.4</v>
      </c>
      <c r="H47" t="s">
        <v>32</v>
      </c>
      <c r="I47" t="s">
        <v>28</v>
      </c>
      <c r="J47" t="s">
        <v>18</v>
      </c>
      <c r="K47" t="s">
        <v>115</v>
      </c>
      <c r="L47" t="s">
        <v>1</v>
      </c>
      <c r="M47" s="15">
        <f t="shared" si="3"/>
        <v>0.84495999999999993</v>
      </c>
    </row>
    <row r="48" spans="1:13" x14ac:dyDescent="0.3">
      <c r="A48" s="14">
        <v>45730</v>
      </c>
      <c r="B48" s="19">
        <f t="shared" si="2"/>
        <v>3</v>
      </c>
      <c r="C48" t="s">
        <v>30</v>
      </c>
      <c r="D48">
        <v>12054</v>
      </c>
      <c r="E48">
        <v>118</v>
      </c>
      <c r="F48">
        <v>1.5</v>
      </c>
      <c r="G48">
        <v>8.6999999999999993</v>
      </c>
      <c r="H48" t="s">
        <v>32</v>
      </c>
      <c r="I48" t="s">
        <v>38</v>
      </c>
      <c r="J48" t="s">
        <v>18</v>
      </c>
      <c r="K48" t="s">
        <v>99</v>
      </c>
      <c r="L48" t="s">
        <v>2</v>
      </c>
      <c r="M48" s="15">
        <f t="shared" si="3"/>
        <v>1.2429933333333332</v>
      </c>
    </row>
    <row r="49" spans="1:13" x14ac:dyDescent="0.3">
      <c r="A49" s="14">
        <v>45717</v>
      </c>
      <c r="B49" s="19">
        <f t="shared" si="2"/>
        <v>3</v>
      </c>
      <c r="C49" t="s">
        <v>19</v>
      </c>
      <c r="D49">
        <v>12596</v>
      </c>
      <c r="E49">
        <v>58</v>
      </c>
      <c r="F49">
        <v>2.1</v>
      </c>
      <c r="G49">
        <v>6</v>
      </c>
      <c r="H49" t="s">
        <v>14</v>
      </c>
      <c r="I49" t="s">
        <v>20</v>
      </c>
      <c r="J49" t="s">
        <v>21</v>
      </c>
      <c r="K49" t="s">
        <v>100</v>
      </c>
      <c r="L49" t="s">
        <v>1</v>
      </c>
      <c r="M49" s="15">
        <f t="shared" si="3"/>
        <v>1.0571733333333335</v>
      </c>
    </row>
    <row r="50" spans="1:13" x14ac:dyDescent="0.3">
      <c r="A50" s="14">
        <v>45731</v>
      </c>
      <c r="B50" s="19">
        <f t="shared" si="2"/>
        <v>3</v>
      </c>
      <c r="C50" t="s">
        <v>34</v>
      </c>
      <c r="D50">
        <v>12089</v>
      </c>
      <c r="E50">
        <v>104</v>
      </c>
      <c r="F50">
        <v>0.7</v>
      </c>
      <c r="G50">
        <v>8.1999999999999993</v>
      </c>
      <c r="H50" t="s">
        <v>32</v>
      </c>
      <c r="I50" t="s">
        <v>20</v>
      </c>
      <c r="J50" t="s">
        <v>31</v>
      </c>
      <c r="K50" t="s">
        <v>79</v>
      </c>
      <c r="L50" t="s">
        <v>2</v>
      </c>
      <c r="M50" s="15">
        <f t="shared" si="3"/>
        <v>1.1052266666666668</v>
      </c>
    </row>
    <row r="51" spans="1:13" x14ac:dyDescent="0.3">
      <c r="A51" s="14">
        <v>45735</v>
      </c>
      <c r="B51" s="19">
        <f t="shared" si="2"/>
        <v>3</v>
      </c>
      <c r="C51" t="s">
        <v>19</v>
      </c>
      <c r="D51">
        <v>8541</v>
      </c>
      <c r="E51">
        <v>22</v>
      </c>
      <c r="F51">
        <v>2.6</v>
      </c>
      <c r="G51">
        <v>4.4000000000000004</v>
      </c>
      <c r="H51" t="s">
        <v>32</v>
      </c>
      <c r="I51" t="s">
        <v>15</v>
      </c>
      <c r="J51" t="s">
        <v>29</v>
      </c>
      <c r="K51" t="s">
        <v>81</v>
      </c>
      <c r="L51" t="s">
        <v>33</v>
      </c>
      <c r="M51" s="15">
        <f t="shared" si="3"/>
        <v>0.7849733333333333</v>
      </c>
    </row>
    <row r="52" spans="1:13" x14ac:dyDescent="0.3">
      <c r="A52" s="14">
        <v>45720</v>
      </c>
      <c r="B52" s="19">
        <f t="shared" si="2"/>
        <v>3</v>
      </c>
      <c r="C52" t="s">
        <v>13</v>
      </c>
      <c r="D52">
        <v>7088</v>
      </c>
      <c r="E52">
        <v>58</v>
      </c>
      <c r="F52">
        <v>1</v>
      </c>
      <c r="G52">
        <v>8.8000000000000007</v>
      </c>
      <c r="H52" t="s">
        <v>23</v>
      </c>
      <c r="I52" t="s">
        <v>36</v>
      </c>
      <c r="J52" t="s">
        <v>29</v>
      </c>
      <c r="K52" t="s">
        <v>81</v>
      </c>
      <c r="L52" t="s">
        <v>24</v>
      </c>
      <c r="M52" s="15">
        <f t="shared" si="3"/>
        <v>0.7968533333333333</v>
      </c>
    </row>
    <row r="53" spans="1:13" x14ac:dyDescent="0.3">
      <c r="A53" s="14">
        <v>45734</v>
      </c>
      <c r="B53" s="19">
        <f t="shared" si="2"/>
        <v>3</v>
      </c>
      <c r="C53" t="s">
        <v>19</v>
      </c>
      <c r="D53">
        <v>11265</v>
      </c>
      <c r="E53">
        <v>46</v>
      </c>
      <c r="F53">
        <v>2</v>
      </c>
      <c r="G53">
        <v>8.6999999999999993</v>
      </c>
      <c r="H53" t="s">
        <v>26</v>
      </c>
      <c r="I53" t="s">
        <v>37</v>
      </c>
      <c r="J53" t="s">
        <v>16</v>
      </c>
      <c r="K53" t="s">
        <v>116</v>
      </c>
      <c r="L53" t="s">
        <v>1</v>
      </c>
      <c r="M53" s="15">
        <f t="shared" si="3"/>
        <v>1.0214333333333334</v>
      </c>
    </row>
    <row r="54" spans="1:13" x14ac:dyDescent="0.3">
      <c r="A54" s="14">
        <v>45719</v>
      </c>
      <c r="B54" s="19">
        <f t="shared" si="2"/>
        <v>3</v>
      </c>
      <c r="C54" t="s">
        <v>17</v>
      </c>
      <c r="D54">
        <v>6030</v>
      </c>
      <c r="E54">
        <v>112</v>
      </c>
      <c r="F54">
        <v>0.9</v>
      </c>
      <c r="G54">
        <v>4.0999999999999996</v>
      </c>
      <c r="H54" t="s">
        <v>14</v>
      </c>
      <c r="I54" t="s">
        <v>27</v>
      </c>
      <c r="J54" t="s">
        <v>16</v>
      </c>
      <c r="K54" t="s">
        <v>86</v>
      </c>
      <c r="L54" t="s">
        <v>1</v>
      </c>
      <c r="M54" s="15">
        <f t="shared" si="3"/>
        <v>0.80703333333333338</v>
      </c>
    </row>
    <row r="55" spans="1:13" x14ac:dyDescent="0.3">
      <c r="A55" s="14">
        <v>45739</v>
      </c>
      <c r="B55" s="19">
        <f t="shared" si="2"/>
        <v>3</v>
      </c>
      <c r="C55" t="s">
        <v>30</v>
      </c>
      <c r="D55">
        <v>7484</v>
      </c>
      <c r="E55">
        <v>32</v>
      </c>
      <c r="F55">
        <v>0.5</v>
      </c>
      <c r="G55">
        <v>6.9</v>
      </c>
      <c r="H55" t="s">
        <v>14</v>
      </c>
      <c r="I55" t="s">
        <v>27</v>
      </c>
      <c r="J55" t="s">
        <v>29</v>
      </c>
      <c r="K55" t="s">
        <v>86</v>
      </c>
      <c r="L55" t="s">
        <v>33</v>
      </c>
      <c r="M55" s="15">
        <f t="shared" si="3"/>
        <v>0.62852666666666679</v>
      </c>
    </row>
    <row r="56" spans="1:13" x14ac:dyDescent="0.3">
      <c r="A56" s="14">
        <v>45736</v>
      </c>
      <c r="B56" s="19">
        <f t="shared" si="2"/>
        <v>3</v>
      </c>
      <c r="C56" t="s">
        <v>22</v>
      </c>
      <c r="D56">
        <v>10810</v>
      </c>
      <c r="E56">
        <v>58</v>
      </c>
      <c r="F56">
        <v>3.1</v>
      </c>
      <c r="G56">
        <v>7.7</v>
      </c>
      <c r="H56" t="s">
        <v>26</v>
      </c>
      <c r="I56" t="s">
        <v>28</v>
      </c>
      <c r="J56" t="s">
        <v>29</v>
      </c>
      <c r="K56" t="s">
        <v>104</v>
      </c>
      <c r="L56" t="s">
        <v>24</v>
      </c>
      <c r="M56" s="15">
        <f t="shared" si="3"/>
        <v>1.1282333333333334</v>
      </c>
    </row>
    <row r="57" spans="1:13" x14ac:dyDescent="0.3">
      <c r="A57" s="14">
        <v>45742</v>
      </c>
      <c r="B57" s="19">
        <f t="shared" si="2"/>
        <v>3</v>
      </c>
      <c r="C57" t="s">
        <v>19</v>
      </c>
      <c r="D57">
        <v>14929</v>
      </c>
      <c r="E57">
        <v>47</v>
      </c>
      <c r="F57">
        <v>2.1</v>
      </c>
      <c r="G57">
        <v>5.9</v>
      </c>
      <c r="H57" t="s">
        <v>32</v>
      </c>
      <c r="I57" t="s">
        <v>37</v>
      </c>
      <c r="J57" t="s">
        <v>29</v>
      </c>
      <c r="K57" t="s">
        <v>106</v>
      </c>
      <c r="L57" t="s">
        <v>1</v>
      </c>
      <c r="M57" s="15">
        <f t="shared" si="3"/>
        <v>1.1113266666666666</v>
      </c>
    </row>
    <row r="58" spans="1:13" x14ac:dyDescent="0.3">
      <c r="A58" s="14">
        <v>45732</v>
      </c>
      <c r="B58" s="19">
        <f t="shared" si="2"/>
        <v>3</v>
      </c>
      <c r="C58" t="s">
        <v>34</v>
      </c>
      <c r="D58">
        <v>13862</v>
      </c>
      <c r="E58">
        <v>13</v>
      </c>
      <c r="F58">
        <v>0.5</v>
      </c>
      <c r="G58">
        <v>8.9</v>
      </c>
      <c r="H58" t="s">
        <v>26</v>
      </c>
      <c r="I58" t="s">
        <v>37</v>
      </c>
      <c r="J58" t="s">
        <v>21</v>
      </c>
      <c r="K58" t="s">
        <v>117</v>
      </c>
      <c r="L58" t="s">
        <v>33</v>
      </c>
      <c r="M58" s="15">
        <f t="shared" si="3"/>
        <v>0.87031333333333349</v>
      </c>
    </row>
    <row r="59" spans="1:13" x14ac:dyDescent="0.3">
      <c r="A59" s="14">
        <v>45729</v>
      </c>
      <c r="B59" s="19">
        <f t="shared" si="2"/>
        <v>3</v>
      </c>
      <c r="C59" t="s">
        <v>35</v>
      </c>
      <c r="D59">
        <v>11185</v>
      </c>
      <c r="E59">
        <v>43</v>
      </c>
      <c r="F59">
        <v>2.2000000000000002</v>
      </c>
      <c r="G59">
        <v>6.9</v>
      </c>
      <c r="H59" t="s">
        <v>14</v>
      </c>
      <c r="I59" t="s">
        <v>20</v>
      </c>
      <c r="J59" t="s">
        <v>18</v>
      </c>
      <c r="K59" t="s">
        <v>89</v>
      </c>
      <c r="L59" t="s">
        <v>24</v>
      </c>
      <c r="M59" s="15">
        <f t="shared" si="3"/>
        <v>0.9832333333333334</v>
      </c>
    </row>
    <row r="60" spans="1:13" x14ac:dyDescent="0.3">
      <c r="A60" s="14">
        <v>45743</v>
      </c>
      <c r="B60" s="19">
        <f t="shared" si="2"/>
        <v>3</v>
      </c>
      <c r="C60" t="s">
        <v>22</v>
      </c>
      <c r="D60">
        <v>5256</v>
      </c>
      <c r="E60">
        <v>11</v>
      </c>
      <c r="F60">
        <v>0.5</v>
      </c>
      <c r="G60">
        <v>7</v>
      </c>
      <c r="H60" t="s">
        <v>14</v>
      </c>
      <c r="I60" t="s">
        <v>27</v>
      </c>
      <c r="J60" t="s">
        <v>31</v>
      </c>
      <c r="K60" t="s">
        <v>89</v>
      </c>
      <c r="L60" t="s">
        <v>1</v>
      </c>
      <c r="M60" s="15">
        <f t="shared" si="3"/>
        <v>0.47190666666666664</v>
      </c>
    </row>
    <row r="61" spans="1:13" x14ac:dyDescent="0.3">
      <c r="A61" s="14">
        <v>45738</v>
      </c>
      <c r="B61" s="19">
        <f t="shared" si="2"/>
        <v>3</v>
      </c>
      <c r="C61" t="s">
        <v>25</v>
      </c>
      <c r="D61">
        <v>1577</v>
      </c>
      <c r="E61">
        <v>35</v>
      </c>
      <c r="F61">
        <v>3.2</v>
      </c>
      <c r="G61">
        <v>5.6</v>
      </c>
      <c r="H61" t="s">
        <v>23</v>
      </c>
      <c r="I61" t="s">
        <v>15</v>
      </c>
      <c r="J61" t="s">
        <v>21</v>
      </c>
      <c r="K61" t="s">
        <v>118</v>
      </c>
      <c r="L61" t="s">
        <v>33</v>
      </c>
      <c r="M61" s="15">
        <f t="shared" si="3"/>
        <v>0.63974666666666669</v>
      </c>
    </row>
    <row r="62" spans="1:13" x14ac:dyDescent="0.3">
      <c r="A62" s="14">
        <v>45744</v>
      </c>
      <c r="B62" s="19">
        <f t="shared" si="2"/>
        <v>3</v>
      </c>
      <c r="C62" t="s">
        <v>25</v>
      </c>
      <c r="D62">
        <v>12897</v>
      </c>
      <c r="E62">
        <v>81</v>
      </c>
      <c r="F62">
        <v>1.8</v>
      </c>
      <c r="G62">
        <v>5.4</v>
      </c>
      <c r="H62" t="s">
        <v>14</v>
      </c>
      <c r="I62" t="s">
        <v>38</v>
      </c>
      <c r="J62" t="s">
        <v>29</v>
      </c>
      <c r="K62" t="s">
        <v>119</v>
      </c>
      <c r="L62" t="s">
        <v>2</v>
      </c>
      <c r="M62" s="15">
        <f t="shared" si="3"/>
        <v>1.1008800000000001</v>
      </c>
    </row>
    <row r="63" spans="1:13" x14ac:dyDescent="0.3">
      <c r="A63" s="14">
        <v>45747</v>
      </c>
      <c r="B63" s="19">
        <f t="shared" si="2"/>
        <v>3</v>
      </c>
      <c r="C63" t="s">
        <v>25</v>
      </c>
      <c r="D63">
        <v>4572</v>
      </c>
      <c r="E63">
        <v>72</v>
      </c>
      <c r="F63">
        <v>1.4</v>
      </c>
      <c r="G63">
        <v>5.0999999999999996</v>
      </c>
      <c r="H63" t="s">
        <v>32</v>
      </c>
      <c r="I63" t="s">
        <v>28</v>
      </c>
      <c r="J63" t="s">
        <v>29</v>
      </c>
      <c r="K63" t="s">
        <v>119</v>
      </c>
      <c r="L63" t="s">
        <v>33</v>
      </c>
      <c r="M63" s="15">
        <f t="shared" si="3"/>
        <v>0.6903800000000001</v>
      </c>
    </row>
    <row r="64" spans="1:13" x14ac:dyDescent="0.3">
      <c r="A64" s="14">
        <v>45724</v>
      </c>
      <c r="B64" s="19">
        <f t="shared" si="2"/>
        <v>3</v>
      </c>
      <c r="C64" t="s">
        <v>34</v>
      </c>
      <c r="D64">
        <v>3893</v>
      </c>
      <c r="E64">
        <v>55</v>
      </c>
      <c r="F64">
        <v>1.6</v>
      </c>
      <c r="G64">
        <v>6.5</v>
      </c>
      <c r="H64" t="s">
        <v>32</v>
      </c>
      <c r="I64" t="s">
        <v>36</v>
      </c>
      <c r="J64" t="s">
        <v>21</v>
      </c>
      <c r="K64" t="s">
        <v>93</v>
      </c>
      <c r="L64" t="s">
        <v>24</v>
      </c>
      <c r="M64" s="15">
        <f t="shared" si="3"/>
        <v>0.66155333333333333</v>
      </c>
    </row>
    <row r="65" spans="1:13" x14ac:dyDescent="0.3">
      <c r="A65" s="14">
        <v>45740</v>
      </c>
      <c r="B65" s="19">
        <f t="shared" si="2"/>
        <v>3</v>
      </c>
      <c r="C65" t="s">
        <v>34</v>
      </c>
      <c r="D65">
        <v>9889</v>
      </c>
      <c r="E65">
        <v>15</v>
      </c>
      <c r="F65">
        <v>1.5</v>
      </c>
      <c r="G65">
        <v>7.7</v>
      </c>
      <c r="H65" t="s">
        <v>23</v>
      </c>
      <c r="I65" t="s">
        <v>20</v>
      </c>
      <c r="J65" t="s">
        <v>21</v>
      </c>
      <c r="K65" t="s">
        <v>108</v>
      </c>
      <c r="L65" t="s">
        <v>1</v>
      </c>
      <c r="M65" s="15">
        <f t="shared" si="3"/>
        <v>0.78806000000000009</v>
      </c>
    </row>
    <row r="66" spans="1:13" x14ac:dyDescent="0.3">
      <c r="A66" s="14">
        <v>45733</v>
      </c>
      <c r="B66" s="19">
        <f t="shared" ref="B66:B97" si="4">(MONTH(A66))</f>
        <v>3</v>
      </c>
      <c r="C66" t="s">
        <v>30</v>
      </c>
      <c r="D66">
        <v>7816</v>
      </c>
      <c r="E66">
        <v>53</v>
      </c>
      <c r="F66">
        <v>1.1000000000000001</v>
      </c>
      <c r="G66">
        <v>8.8000000000000007</v>
      </c>
      <c r="H66" t="s">
        <v>14</v>
      </c>
      <c r="I66" t="s">
        <v>15</v>
      </c>
      <c r="J66" t="s">
        <v>16</v>
      </c>
      <c r="K66" t="s">
        <v>109</v>
      </c>
      <c r="L66" t="s">
        <v>33</v>
      </c>
      <c r="M66" s="15">
        <f t="shared" ref="M66:M97" si="5">(D66/10000*0.4) + (E66/60*0.2) + (G66/8*0.2) + (F66/2*0.2)</f>
        <v>0.81930666666666674</v>
      </c>
    </row>
    <row r="67" spans="1:13" x14ac:dyDescent="0.3">
      <c r="A67" s="14">
        <v>45726</v>
      </c>
      <c r="B67" s="19">
        <f t="shared" si="4"/>
        <v>3</v>
      </c>
      <c r="C67" t="s">
        <v>35</v>
      </c>
      <c r="D67">
        <v>14261</v>
      </c>
      <c r="E67">
        <v>37</v>
      </c>
      <c r="F67">
        <v>1.6</v>
      </c>
      <c r="G67">
        <v>6.3</v>
      </c>
      <c r="H67" t="s">
        <v>23</v>
      </c>
      <c r="I67" t="s">
        <v>36</v>
      </c>
      <c r="J67" t="s">
        <v>21</v>
      </c>
      <c r="K67" t="s">
        <v>110</v>
      </c>
      <c r="L67" t="s">
        <v>1</v>
      </c>
      <c r="M67" s="15">
        <f t="shared" si="5"/>
        <v>1.0112733333333335</v>
      </c>
    </row>
    <row r="68" spans="1:13" x14ac:dyDescent="0.3">
      <c r="A68" s="14">
        <v>45741</v>
      </c>
      <c r="B68" s="19">
        <f t="shared" si="4"/>
        <v>3</v>
      </c>
      <c r="C68" t="s">
        <v>13</v>
      </c>
      <c r="D68">
        <v>3704</v>
      </c>
      <c r="E68">
        <v>47</v>
      </c>
      <c r="F68">
        <v>2.8</v>
      </c>
      <c r="G68">
        <v>7.5</v>
      </c>
      <c r="H68" t="s">
        <v>32</v>
      </c>
      <c r="I68" t="s">
        <v>37</v>
      </c>
      <c r="J68" t="s">
        <v>18</v>
      </c>
      <c r="K68" t="s">
        <v>120</v>
      </c>
      <c r="L68" t="s">
        <v>1</v>
      </c>
      <c r="M68" s="15">
        <f t="shared" si="5"/>
        <v>0.77232666666666661</v>
      </c>
    </row>
    <row r="69" spans="1:13" x14ac:dyDescent="0.3">
      <c r="A69" s="14">
        <v>45745</v>
      </c>
      <c r="B69" s="19">
        <f t="shared" si="4"/>
        <v>3</v>
      </c>
      <c r="C69" t="s">
        <v>17</v>
      </c>
      <c r="D69">
        <v>12422</v>
      </c>
      <c r="E69">
        <v>85</v>
      </c>
      <c r="F69">
        <v>0.8</v>
      </c>
      <c r="G69">
        <v>8.6</v>
      </c>
      <c r="H69" t="s">
        <v>32</v>
      </c>
      <c r="I69" t="s">
        <v>15</v>
      </c>
      <c r="J69" t="s">
        <v>18</v>
      </c>
      <c r="K69" t="s">
        <v>120</v>
      </c>
      <c r="L69" t="s">
        <v>33</v>
      </c>
      <c r="M69" s="15">
        <f t="shared" si="5"/>
        <v>1.0752133333333334</v>
      </c>
    </row>
    <row r="70" spans="1:13" x14ac:dyDescent="0.3">
      <c r="A70" s="14">
        <v>45737</v>
      </c>
      <c r="B70" s="19">
        <f t="shared" si="4"/>
        <v>3</v>
      </c>
      <c r="C70" t="s">
        <v>30</v>
      </c>
      <c r="D70">
        <v>4891</v>
      </c>
      <c r="E70">
        <v>31</v>
      </c>
      <c r="F70">
        <v>0.6</v>
      </c>
      <c r="G70">
        <v>7.9</v>
      </c>
      <c r="H70" t="s">
        <v>32</v>
      </c>
      <c r="I70" t="s">
        <v>37</v>
      </c>
      <c r="J70" t="s">
        <v>31</v>
      </c>
      <c r="K70" t="s">
        <v>121</v>
      </c>
      <c r="L70" t="s">
        <v>1</v>
      </c>
      <c r="M70" s="15">
        <f t="shared" si="5"/>
        <v>0.55647333333333338</v>
      </c>
    </row>
    <row r="71" spans="1:13" x14ac:dyDescent="0.3">
      <c r="A71" s="14">
        <v>45746</v>
      </c>
      <c r="B71" s="19">
        <f t="shared" si="4"/>
        <v>3</v>
      </c>
      <c r="C71" t="s">
        <v>25</v>
      </c>
      <c r="D71">
        <v>5646</v>
      </c>
      <c r="E71">
        <v>38</v>
      </c>
      <c r="F71">
        <v>0.8</v>
      </c>
      <c r="G71">
        <v>8.1999999999999993</v>
      </c>
      <c r="H71" t="s">
        <v>32</v>
      </c>
      <c r="I71" t="s">
        <v>27</v>
      </c>
      <c r="J71" t="s">
        <v>18</v>
      </c>
      <c r="K71" t="s">
        <v>122</v>
      </c>
      <c r="L71" t="s">
        <v>24</v>
      </c>
      <c r="M71" s="15">
        <f t="shared" si="5"/>
        <v>0.63750666666666667</v>
      </c>
    </row>
    <row r="72" spans="1:13" x14ac:dyDescent="0.3">
      <c r="A72" s="14">
        <v>45766</v>
      </c>
      <c r="B72" s="19">
        <f t="shared" si="4"/>
        <v>4</v>
      </c>
      <c r="C72" t="s">
        <v>17</v>
      </c>
      <c r="D72">
        <v>4000</v>
      </c>
      <c r="E72">
        <v>48</v>
      </c>
      <c r="F72">
        <v>0.7</v>
      </c>
      <c r="G72">
        <v>4.4000000000000004</v>
      </c>
      <c r="H72" t="s">
        <v>26</v>
      </c>
      <c r="I72" t="s">
        <v>20</v>
      </c>
      <c r="J72" t="s">
        <v>18</v>
      </c>
      <c r="K72" t="s">
        <v>123</v>
      </c>
      <c r="L72" t="s">
        <v>2</v>
      </c>
      <c r="M72" s="15">
        <f t="shared" si="5"/>
        <v>0.5</v>
      </c>
    </row>
    <row r="73" spans="1:13" x14ac:dyDescent="0.3">
      <c r="A73" s="14">
        <v>45775</v>
      </c>
      <c r="B73" s="19">
        <f t="shared" si="4"/>
        <v>4</v>
      </c>
      <c r="C73" t="s">
        <v>22</v>
      </c>
      <c r="D73">
        <v>5888</v>
      </c>
      <c r="E73">
        <v>34</v>
      </c>
      <c r="F73">
        <v>1.3</v>
      </c>
      <c r="G73">
        <v>8.6</v>
      </c>
      <c r="H73" t="s">
        <v>32</v>
      </c>
      <c r="I73" t="s">
        <v>27</v>
      </c>
      <c r="J73" t="s">
        <v>16</v>
      </c>
      <c r="K73" t="s">
        <v>100</v>
      </c>
      <c r="L73" t="s">
        <v>1</v>
      </c>
      <c r="M73" s="15">
        <f t="shared" si="5"/>
        <v>0.69385333333333332</v>
      </c>
    </row>
    <row r="74" spans="1:13" x14ac:dyDescent="0.3">
      <c r="A74" s="14">
        <v>45773</v>
      </c>
      <c r="B74" s="19">
        <f t="shared" si="4"/>
        <v>4</v>
      </c>
      <c r="C74" t="s">
        <v>19</v>
      </c>
      <c r="D74">
        <v>5310</v>
      </c>
      <c r="E74">
        <v>48</v>
      </c>
      <c r="F74">
        <v>0.5</v>
      </c>
      <c r="G74">
        <v>4.3</v>
      </c>
      <c r="H74" t="s">
        <v>26</v>
      </c>
      <c r="I74" t="s">
        <v>28</v>
      </c>
      <c r="J74" t="s">
        <v>29</v>
      </c>
      <c r="K74" t="s">
        <v>124</v>
      </c>
      <c r="L74" t="s">
        <v>2</v>
      </c>
      <c r="M74" s="15">
        <f t="shared" si="5"/>
        <v>0.52990000000000004</v>
      </c>
    </row>
    <row r="75" spans="1:13" x14ac:dyDescent="0.3">
      <c r="A75" s="14">
        <v>45761</v>
      </c>
      <c r="B75" s="19">
        <f t="shared" si="4"/>
        <v>4</v>
      </c>
      <c r="C75" t="s">
        <v>13</v>
      </c>
      <c r="D75">
        <v>7296</v>
      </c>
      <c r="E75">
        <v>34</v>
      </c>
      <c r="F75">
        <v>2</v>
      </c>
      <c r="G75">
        <v>7.6</v>
      </c>
      <c r="H75" t="s">
        <v>32</v>
      </c>
      <c r="I75" t="s">
        <v>20</v>
      </c>
      <c r="J75" t="s">
        <v>18</v>
      </c>
      <c r="K75" t="s">
        <v>101</v>
      </c>
      <c r="L75" t="s">
        <v>2</v>
      </c>
      <c r="M75" s="15">
        <f t="shared" si="5"/>
        <v>0.79517333333333329</v>
      </c>
    </row>
    <row r="76" spans="1:13" x14ac:dyDescent="0.3">
      <c r="A76" s="14">
        <v>45749</v>
      </c>
      <c r="B76" s="19">
        <f t="shared" si="4"/>
        <v>4</v>
      </c>
      <c r="C76" t="s">
        <v>35</v>
      </c>
      <c r="D76">
        <v>14550</v>
      </c>
      <c r="E76">
        <v>60</v>
      </c>
      <c r="F76">
        <v>1.2</v>
      </c>
      <c r="G76">
        <v>6.9</v>
      </c>
      <c r="H76" t="s">
        <v>23</v>
      </c>
      <c r="I76" t="s">
        <v>28</v>
      </c>
      <c r="J76" t="s">
        <v>16</v>
      </c>
      <c r="K76" t="s">
        <v>125</v>
      </c>
      <c r="L76" t="s">
        <v>33</v>
      </c>
      <c r="M76" s="15">
        <f t="shared" si="5"/>
        <v>1.0745</v>
      </c>
    </row>
    <row r="77" spans="1:13" x14ac:dyDescent="0.3">
      <c r="A77" s="14">
        <v>45763</v>
      </c>
      <c r="B77" s="19">
        <f t="shared" si="4"/>
        <v>4</v>
      </c>
      <c r="C77" t="s">
        <v>34</v>
      </c>
      <c r="D77">
        <v>4366</v>
      </c>
      <c r="E77">
        <v>62</v>
      </c>
      <c r="F77">
        <v>2.2999999999999998</v>
      </c>
      <c r="G77">
        <v>5.2</v>
      </c>
      <c r="H77" t="s">
        <v>14</v>
      </c>
      <c r="I77" t="s">
        <v>38</v>
      </c>
      <c r="J77" t="s">
        <v>29</v>
      </c>
      <c r="K77" t="s">
        <v>126</v>
      </c>
      <c r="L77" t="s">
        <v>1</v>
      </c>
      <c r="M77" s="15">
        <f t="shared" si="5"/>
        <v>0.74130666666666667</v>
      </c>
    </row>
    <row r="78" spans="1:13" x14ac:dyDescent="0.3">
      <c r="A78" s="14">
        <v>45749</v>
      </c>
      <c r="B78" s="19">
        <f t="shared" si="4"/>
        <v>4</v>
      </c>
      <c r="C78" t="s">
        <v>34</v>
      </c>
      <c r="D78">
        <v>9808</v>
      </c>
      <c r="E78">
        <v>71</v>
      </c>
      <c r="F78">
        <v>3</v>
      </c>
      <c r="G78">
        <v>7.5</v>
      </c>
      <c r="H78" t="s">
        <v>26</v>
      </c>
      <c r="I78" t="s">
        <v>15</v>
      </c>
      <c r="J78" t="s">
        <v>31</v>
      </c>
      <c r="K78" t="s">
        <v>104</v>
      </c>
      <c r="L78" t="s">
        <v>1</v>
      </c>
      <c r="M78" s="15">
        <f t="shared" si="5"/>
        <v>1.1164866666666668</v>
      </c>
    </row>
    <row r="79" spans="1:13" x14ac:dyDescent="0.3">
      <c r="A79" s="14">
        <v>45762</v>
      </c>
      <c r="B79" s="19">
        <f t="shared" si="4"/>
        <v>4</v>
      </c>
      <c r="C79" t="s">
        <v>34</v>
      </c>
      <c r="D79">
        <v>7636</v>
      </c>
      <c r="E79">
        <v>62</v>
      </c>
      <c r="F79">
        <v>0.5</v>
      </c>
      <c r="G79">
        <v>8.6</v>
      </c>
      <c r="H79" t="s">
        <v>14</v>
      </c>
      <c r="I79" t="s">
        <v>27</v>
      </c>
      <c r="J79" t="s">
        <v>21</v>
      </c>
      <c r="K79" t="s">
        <v>104</v>
      </c>
      <c r="L79" t="s">
        <v>2</v>
      </c>
      <c r="M79" s="15">
        <f t="shared" si="5"/>
        <v>0.77710666666666672</v>
      </c>
    </row>
    <row r="80" spans="1:13" x14ac:dyDescent="0.3">
      <c r="A80" s="14">
        <v>45771</v>
      </c>
      <c r="B80" s="19">
        <f t="shared" si="4"/>
        <v>4</v>
      </c>
      <c r="C80" t="s">
        <v>19</v>
      </c>
      <c r="D80">
        <v>9480</v>
      </c>
      <c r="E80">
        <v>107</v>
      </c>
      <c r="F80">
        <v>3.2</v>
      </c>
      <c r="G80">
        <v>6.7</v>
      </c>
      <c r="H80" t="s">
        <v>26</v>
      </c>
      <c r="I80" t="s">
        <v>15</v>
      </c>
      <c r="J80" t="s">
        <v>31</v>
      </c>
      <c r="K80" t="s">
        <v>105</v>
      </c>
      <c r="L80" t="s">
        <v>1</v>
      </c>
      <c r="M80" s="15">
        <f t="shared" si="5"/>
        <v>1.2233666666666667</v>
      </c>
    </row>
    <row r="81" spans="1:13" x14ac:dyDescent="0.3">
      <c r="A81" s="14">
        <v>45765</v>
      </c>
      <c r="B81" s="19">
        <f t="shared" si="4"/>
        <v>4</v>
      </c>
      <c r="C81" t="s">
        <v>35</v>
      </c>
      <c r="D81">
        <v>8601</v>
      </c>
      <c r="E81">
        <v>118</v>
      </c>
      <c r="F81">
        <v>1</v>
      </c>
      <c r="G81">
        <v>7.1</v>
      </c>
      <c r="H81" t="s">
        <v>26</v>
      </c>
      <c r="I81" t="s">
        <v>36</v>
      </c>
      <c r="J81" t="s">
        <v>18</v>
      </c>
      <c r="K81" t="s">
        <v>127</v>
      </c>
      <c r="L81" t="s">
        <v>2</v>
      </c>
      <c r="M81" s="15">
        <f t="shared" si="5"/>
        <v>1.0148733333333333</v>
      </c>
    </row>
    <row r="82" spans="1:13" x14ac:dyDescent="0.3">
      <c r="A82" s="14">
        <v>45767</v>
      </c>
      <c r="B82" s="19">
        <f t="shared" si="4"/>
        <v>4</v>
      </c>
      <c r="C82" t="s">
        <v>19</v>
      </c>
      <c r="D82">
        <v>8460</v>
      </c>
      <c r="E82">
        <v>70</v>
      </c>
      <c r="F82">
        <v>2.9</v>
      </c>
      <c r="G82">
        <v>7.5</v>
      </c>
      <c r="H82" t="s">
        <v>32</v>
      </c>
      <c r="I82" t="s">
        <v>15</v>
      </c>
      <c r="J82" t="s">
        <v>29</v>
      </c>
      <c r="K82" t="s">
        <v>128</v>
      </c>
      <c r="L82" t="s">
        <v>2</v>
      </c>
      <c r="M82" s="15">
        <f t="shared" si="5"/>
        <v>1.0492333333333335</v>
      </c>
    </row>
    <row r="83" spans="1:13" x14ac:dyDescent="0.3">
      <c r="A83" s="14">
        <v>45777</v>
      </c>
      <c r="B83" s="19">
        <f t="shared" si="4"/>
        <v>4</v>
      </c>
      <c r="C83" t="s">
        <v>35</v>
      </c>
      <c r="D83">
        <v>9327</v>
      </c>
      <c r="E83">
        <v>102</v>
      </c>
      <c r="F83">
        <v>2.4</v>
      </c>
      <c r="G83">
        <v>7</v>
      </c>
      <c r="H83" t="s">
        <v>14</v>
      </c>
      <c r="I83" t="s">
        <v>38</v>
      </c>
      <c r="J83" t="s">
        <v>29</v>
      </c>
      <c r="K83" t="s">
        <v>128</v>
      </c>
      <c r="L83" t="s">
        <v>2</v>
      </c>
      <c r="M83" s="15">
        <f t="shared" si="5"/>
        <v>1.1280800000000002</v>
      </c>
    </row>
    <row r="84" spans="1:13" x14ac:dyDescent="0.3">
      <c r="A84" s="14">
        <v>45750</v>
      </c>
      <c r="B84" s="19">
        <f t="shared" si="4"/>
        <v>4</v>
      </c>
      <c r="C84" t="s">
        <v>17</v>
      </c>
      <c r="D84">
        <v>5761</v>
      </c>
      <c r="E84">
        <v>106</v>
      </c>
      <c r="F84">
        <v>2.9</v>
      </c>
      <c r="G84">
        <v>6</v>
      </c>
      <c r="H84" t="s">
        <v>14</v>
      </c>
      <c r="I84" t="s">
        <v>28</v>
      </c>
      <c r="J84" t="s">
        <v>16</v>
      </c>
      <c r="K84" t="s">
        <v>91</v>
      </c>
      <c r="L84" t="s">
        <v>2</v>
      </c>
      <c r="M84" s="15">
        <f t="shared" si="5"/>
        <v>1.0237733333333332</v>
      </c>
    </row>
    <row r="85" spans="1:13" x14ac:dyDescent="0.3">
      <c r="A85" s="14">
        <v>45748</v>
      </c>
      <c r="B85" s="19">
        <f t="shared" si="4"/>
        <v>4</v>
      </c>
      <c r="C85" t="s">
        <v>22</v>
      </c>
      <c r="D85">
        <v>4000</v>
      </c>
      <c r="E85">
        <v>73</v>
      </c>
      <c r="F85">
        <v>1.9</v>
      </c>
      <c r="G85">
        <v>8.3000000000000007</v>
      </c>
      <c r="H85" t="s">
        <v>23</v>
      </c>
      <c r="I85" t="s">
        <v>15</v>
      </c>
      <c r="J85" t="s">
        <v>18</v>
      </c>
      <c r="K85" t="s">
        <v>93</v>
      </c>
      <c r="L85" t="s">
        <v>24</v>
      </c>
      <c r="M85" s="15">
        <f t="shared" si="5"/>
        <v>0.80083333333333329</v>
      </c>
    </row>
    <row r="86" spans="1:13" x14ac:dyDescent="0.3">
      <c r="A86" s="14">
        <v>45760</v>
      </c>
      <c r="B86" s="19">
        <f t="shared" si="4"/>
        <v>4</v>
      </c>
      <c r="C86" t="s">
        <v>30</v>
      </c>
      <c r="D86">
        <v>8309</v>
      </c>
      <c r="E86">
        <v>67</v>
      </c>
      <c r="F86">
        <v>3.2</v>
      </c>
      <c r="G86">
        <v>7.5</v>
      </c>
      <c r="H86" t="s">
        <v>32</v>
      </c>
      <c r="I86" t="s">
        <v>28</v>
      </c>
      <c r="J86" t="s">
        <v>31</v>
      </c>
      <c r="K86" t="s">
        <v>93</v>
      </c>
      <c r="L86" t="s">
        <v>33</v>
      </c>
      <c r="M86" s="15">
        <f t="shared" si="5"/>
        <v>1.0631933333333334</v>
      </c>
    </row>
    <row r="87" spans="1:13" x14ac:dyDescent="0.3">
      <c r="A87" s="14">
        <v>45764</v>
      </c>
      <c r="B87" s="19">
        <f t="shared" si="4"/>
        <v>4</v>
      </c>
      <c r="C87" t="s">
        <v>25</v>
      </c>
      <c r="D87">
        <v>4000</v>
      </c>
      <c r="E87">
        <v>64</v>
      </c>
      <c r="F87">
        <v>2.5</v>
      </c>
      <c r="G87">
        <v>8.6999999999999993</v>
      </c>
      <c r="H87" t="s">
        <v>14</v>
      </c>
      <c r="I87" t="s">
        <v>38</v>
      </c>
      <c r="J87" t="s">
        <v>29</v>
      </c>
      <c r="K87" t="s">
        <v>129</v>
      </c>
      <c r="L87" t="s">
        <v>24</v>
      </c>
      <c r="M87" s="15">
        <f t="shared" si="5"/>
        <v>0.84083333333333343</v>
      </c>
    </row>
    <row r="88" spans="1:13" x14ac:dyDescent="0.3">
      <c r="A88" s="14">
        <v>45774</v>
      </c>
      <c r="B88" s="19">
        <f t="shared" si="4"/>
        <v>4</v>
      </c>
      <c r="C88" t="s">
        <v>25</v>
      </c>
      <c r="D88">
        <v>8569</v>
      </c>
      <c r="E88">
        <v>34</v>
      </c>
      <c r="F88">
        <v>1.5</v>
      </c>
      <c r="G88">
        <v>6.6</v>
      </c>
      <c r="H88" t="s">
        <v>23</v>
      </c>
      <c r="I88" t="s">
        <v>27</v>
      </c>
      <c r="J88" t="s">
        <v>31</v>
      </c>
      <c r="K88" t="s">
        <v>129</v>
      </c>
      <c r="L88" t="s">
        <v>24</v>
      </c>
      <c r="M88" s="15">
        <f t="shared" si="5"/>
        <v>0.77109333333333341</v>
      </c>
    </row>
    <row r="89" spans="1:13" x14ac:dyDescent="0.3">
      <c r="A89" s="14">
        <v>45770</v>
      </c>
      <c r="B89" s="19">
        <f t="shared" si="4"/>
        <v>4</v>
      </c>
      <c r="C89" t="s">
        <v>30</v>
      </c>
      <c r="D89">
        <v>14514</v>
      </c>
      <c r="E89">
        <v>102</v>
      </c>
      <c r="F89">
        <v>0.5</v>
      </c>
      <c r="G89">
        <v>8.3000000000000007</v>
      </c>
      <c r="H89" t="s">
        <v>14</v>
      </c>
      <c r="I89" t="s">
        <v>27</v>
      </c>
      <c r="J89" t="s">
        <v>31</v>
      </c>
      <c r="K89" t="s">
        <v>95</v>
      </c>
      <c r="L89" t="s">
        <v>24</v>
      </c>
      <c r="M89" s="15">
        <f t="shared" si="5"/>
        <v>1.1780600000000001</v>
      </c>
    </row>
    <row r="90" spans="1:13" x14ac:dyDescent="0.3">
      <c r="A90" s="14">
        <v>45776</v>
      </c>
      <c r="B90" s="19">
        <f t="shared" si="4"/>
        <v>4</v>
      </c>
      <c r="C90" t="s">
        <v>34</v>
      </c>
      <c r="D90">
        <v>13760</v>
      </c>
      <c r="E90">
        <v>52</v>
      </c>
      <c r="F90">
        <v>2.2999999999999998</v>
      </c>
      <c r="G90">
        <v>8.9</v>
      </c>
      <c r="H90" t="s">
        <v>26</v>
      </c>
      <c r="I90" t="s">
        <v>27</v>
      </c>
      <c r="J90" t="s">
        <v>16</v>
      </c>
      <c r="K90" t="s">
        <v>130</v>
      </c>
      <c r="L90" t="s">
        <v>33</v>
      </c>
      <c r="M90" s="15">
        <f t="shared" si="5"/>
        <v>1.1762333333333332</v>
      </c>
    </row>
    <row r="91" spans="1:13" x14ac:dyDescent="0.3">
      <c r="A91" s="14">
        <v>45751</v>
      </c>
      <c r="B91" s="19">
        <f t="shared" si="4"/>
        <v>4</v>
      </c>
      <c r="C91" t="s">
        <v>17</v>
      </c>
      <c r="D91">
        <v>12904</v>
      </c>
      <c r="E91">
        <v>103</v>
      </c>
      <c r="F91">
        <v>0.5</v>
      </c>
      <c r="G91">
        <v>5</v>
      </c>
      <c r="H91" t="s">
        <v>23</v>
      </c>
      <c r="I91" t="s">
        <v>20</v>
      </c>
      <c r="J91" t="s">
        <v>31</v>
      </c>
      <c r="K91" t="s">
        <v>113</v>
      </c>
      <c r="L91" t="s">
        <v>24</v>
      </c>
      <c r="M91" s="15">
        <f t="shared" si="5"/>
        <v>1.0344933333333335</v>
      </c>
    </row>
    <row r="92" spans="1:13" x14ac:dyDescent="0.3">
      <c r="A92" s="14">
        <v>45769</v>
      </c>
      <c r="B92" s="19">
        <f t="shared" si="4"/>
        <v>4</v>
      </c>
      <c r="C92" t="s">
        <v>22</v>
      </c>
      <c r="D92">
        <v>6306</v>
      </c>
      <c r="E92">
        <v>26</v>
      </c>
      <c r="F92">
        <v>1</v>
      </c>
      <c r="G92">
        <v>6.8</v>
      </c>
      <c r="H92" t="s">
        <v>26</v>
      </c>
      <c r="I92" t="s">
        <v>38</v>
      </c>
      <c r="J92" t="s">
        <v>31</v>
      </c>
      <c r="K92" t="s">
        <v>122</v>
      </c>
      <c r="L92" t="s">
        <v>33</v>
      </c>
      <c r="M92" s="15">
        <f t="shared" si="5"/>
        <v>0.60890666666666671</v>
      </c>
    </row>
    <row r="93" spans="1:13" x14ac:dyDescent="0.3">
      <c r="A93" s="14">
        <v>45781</v>
      </c>
      <c r="B93" s="19">
        <f t="shared" si="4"/>
        <v>5</v>
      </c>
      <c r="C93" t="s">
        <v>25</v>
      </c>
      <c r="D93">
        <v>3565</v>
      </c>
      <c r="E93">
        <v>10</v>
      </c>
      <c r="F93">
        <v>2.8</v>
      </c>
      <c r="G93">
        <v>6.3</v>
      </c>
      <c r="H93" t="s">
        <v>32</v>
      </c>
      <c r="I93" t="s">
        <v>20</v>
      </c>
      <c r="J93" t="s">
        <v>29</v>
      </c>
      <c r="K93" t="s">
        <v>131</v>
      </c>
      <c r="L93" t="s">
        <v>24</v>
      </c>
      <c r="M93" s="15">
        <f t="shared" si="5"/>
        <v>0.61343333333333327</v>
      </c>
    </row>
    <row r="94" spans="1:13" x14ac:dyDescent="0.3">
      <c r="A94" s="14">
        <v>45778</v>
      </c>
      <c r="B94" s="19">
        <f t="shared" si="4"/>
        <v>5</v>
      </c>
      <c r="C94" t="s">
        <v>25</v>
      </c>
      <c r="D94">
        <v>9013</v>
      </c>
      <c r="E94">
        <v>62</v>
      </c>
      <c r="F94">
        <v>1.2</v>
      </c>
      <c r="G94">
        <v>5.2</v>
      </c>
      <c r="H94" t="s">
        <v>23</v>
      </c>
      <c r="I94" t="s">
        <v>27</v>
      </c>
      <c r="J94" t="s">
        <v>21</v>
      </c>
      <c r="K94" t="s">
        <v>93</v>
      </c>
      <c r="L94" t="s">
        <v>1</v>
      </c>
      <c r="M94" s="15">
        <f t="shared" si="5"/>
        <v>0.81718666666666673</v>
      </c>
    </row>
    <row r="95" spans="1:13" x14ac:dyDescent="0.3">
      <c r="A95" s="14">
        <v>45779</v>
      </c>
      <c r="B95" s="19">
        <f t="shared" si="4"/>
        <v>5</v>
      </c>
      <c r="C95" t="s">
        <v>17</v>
      </c>
      <c r="D95">
        <v>14275</v>
      </c>
      <c r="E95">
        <v>118</v>
      </c>
      <c r="F95">
        <v>1.3</v>
      </c>
      <c r="G95">
        <v>8.8000000000000007</v>
      </c>
      <c r="H95" t="s">
        <v>32</v>
      </c>
      <c r="I95" t="s">
        <v>36</v>
      </c>
      <c r="J95" t="s">
        <v>31</v>
      </c>
      <c r="K95" t="s">
        <v>110</v>
      </c>
      <c r="L95" t="s">
        <v>24</v>
      </c>
      <c r="M95" s="15">
        <f t="shared" si="5"/>
        <v>1.3143333333333334</v>
      </c>
    </row>
    <row r="96" spans="1:13" x14ac:dyDescent="0.3">
      <c r="A96" s="14">
        <v>45811</v>
      </c>
      <c r="B96" s="19">
        <f t="shared" si="4"/>
        <v>6</v>
      </c>
      <c r="C96" t="s">
        <v>19</v>
      </c>
      <c r="D96">
        <v>8850</v>
      </c>
      <c r="E96">
        <v>89</v>
      </c>
      <c r="F96">
        <v>1</v>
      </c>
      <c r="G96">
        <v>4.7</v>
      </c>
      <c r="H96" t="s">
        <v>23</v>
      </c>
      <c r="I96" t="s">
        <v>36</v>
      </c>
      <c r="J96" t="s">
        <v>29</v>
      </c>
      <c r="K96" t="s">
        <v>132</v>
      </c>
      <c r="L96" t="s">
        <v>1</v>
      </c>
      <c r="M96" s="15">
        <f t="shared" si="5"/>
        <v>0.86816666666666675</v>
      </c>
    </row>
    <row r="97" spans="1:13" x14ac:dyDescent="0.3">
      <c r="A97" s="14">
        <v>45812</v>
      </c>
      <c r="B97" s="19">
        <f t="shared" si="4"/>
        <v>6</v>
      </c>
      <c r="C97" t="s">
        <v>22</v>
      </c>
      <c r="D97">
        <v>13842</v>
      </c>
      <c r="E97">
        <v>112</v>
      </c>
      <c r="F97">
        <v>2.8</v>
      </c>
      <c r="G97">
        <v>5.4</v>
      </c>
      <c r="H97" t="s">
        <v>32</v>
      </c>
      <c r="I97" t="s">
        <v>37</v>
      </c>
      <c r="J97" t="s">
        <v>21</v>
      </c>
      <c r="K97" t="s">
        <v>113</v>
      </c>
      <c r="L97" t="s">
        <v>33</v>
      </c>
      <c r="M97" s="15">
        <f t="shared" si="5"/>
        <v>1.3420133333333335</v>
      </c>
    </row>
    <row r="98" spans="1:13" x14ac:dyDescent="0.3">
      <c r="A98" s="14">
        <v>45839</v>
      </c>
      <c r="B98" s="19">
        <f t="shared" ref="B98:B129" si="6">(MONTH(A98))</f>
        <v>7</v>
      </c>
      <c r="C98" t="s">
        <v>30</v>
      </c>
      <c r="D98">
        <v>14603</v>
      </c>
      <c r="E98">
        <v>24</v>
      </c>
      <c r="F98">
        <v>0.8</v>
      </c>
      <c r="G98">
        <v>5</v>
      </c>
      <c r="H98" t="s">
        <v>14</v>
      </c>
      <c r="I98" t="s">
        <v>20</v>
      </c>
      <c r="J98" t="s">
        <v>31</v>
      </c>
      <c r="K98" t="s">
        <v>100</v>
      </c>
      <c r="L98" t="s">
        <v>2</v>
      </c>
      <c r="M98" s="15">
        <f t="shared" ref="M98:M114" si="7">(D98/10000*0.4) + (E98/60*0.2) + (G98/8*0.2) + (F98/2*0.2)</f>
        <v>0.86912000000000011</v>
      </c>
    </row>
    <row r="99" spans="1:13" x14ac:dyDescent="0.3">
      <c r="A99" s="14">
        <v>45841</v>
      </c>
      <c r="B99" s="19">
        <f t="shared" si="6"/>
        <v>7</v>
      </c>
      <c r="C99" t="s">
        <v>22</v>
      </c>
      <c r="D99">
        <v>11661</v>
      </c>
      <c r="E99">
        <v>70</v>
      </c>
      <c r="F99">
        <v>1.1000000000000001</v>
      </c>
      <c r="G99">
        <v>4.2</v>
      </c>
      <c r="H99" t="s">
        <v>23</v>
      </c>
      <c r="I99" t="s">
        <v>15</v>
      </c>
      <c r="J99" t="s">
        <v>16</v>
      </c>
      <c r="K99" t="s">
        <v>125</v>
      </c>
      <c r="L99" t="s">
        <v>24</v>
      </c>
      <c r="M99" s="15">
        <f t="shared" si="7"/>
        <v>0.91477333333333333</v>
      </c>
    </row>
    <row r="100" spans="1:13" x14ac:dyDescent="0.3">
      <c r="A100" s="14">
        <v>45842</v>
      </c>
      <c r="B100" s="19">
        <f t="shared" si="6"/>
        <v>7</v>
      </c>
      <c r="C100" t="s">
        <v>19</v>
      </c>
      <c r="D100">
        <v>12771</v>
      </c>
      <c r="E100">
        <v>74</v>
      </c>
      <c r="F100">
        <v>2.2000000000000002</v>
      </c>
      <c r="G100">
        <v>5.3</v>
      </c>
      <c r="H100" t="s">
        <v>32</v>
      </c>
      <c r="I100" t="s">
        <v>38</v>
      </c>
      <c r="J100" t="s">
        <v>18</v>
      </c>
      <c r="K100" t="s">
        <v>82</v>
      </c>
      <c r="L100" t="s">
        <v>1</v>
      </c>
      <c r="M100" s="15">
        <f t="shared" si="7"/>
        <v>1.1100066666666666</v>
      </c>
    </row>
    <row r="101" spans="1:13" x14ac:dyDescent="0.3">
      <c r="A101" s="14">
        <v>45873</v>
      </c>
      <c r="B101" s="19">
        <f t="shared" si="6"/>
        <v>8</v>
      </c>
      <c r="C101" t="s">
        <v>34</v>
      </c>
      <c r="D101">
        <v>5175</v>
      </c>
      <c r="E101">
        <v>17</v>
      </c>
      <c r="F101">
        <v>0.8</v>
      </c>
      <c r="G101">
        <v>5.2</v>
      </c>
      <c r="H101" t="s">
        <v>26</v>
      </c>
      <c r="I101" t="s">
        <v>37</v>
      </c>
      <c r="J101" t="s">
        <v>31</v>
      </c>
      <c r="K101" t="s">
        <v>129</v>
      </c>
      <c r="L101" t="s">
        <v>2</v>
      </c>
      <c r="M101" s="15">
        <f t="shared" si="7"/>
        <v>0.47366666666666668</v>
      </c>
    </row>
    <row r="102" spans="1:13" x14ac:dyDescent="0.3">
      <c r="A102" s="14">
        <v>45901</v>
      </c>
      <c r="B102" s="19">
        <f t="shared" si="6"/>
        <v>9</v>
      </c>
      <c r="C102" t="s">
        <v>13</v>
      </c>
      <c r="D102">
        <v>6758</v>
      </c>
      <c r="E102">
        <v>90</v>
      </c>
      <c r="F102">
        <v>2.6</v>
      </c>
      <c r="G102">
        <v>8</v>
      </c>
      <c r="H102" t="s">
        <v>32</v>
      </c>
      <c r="I102" t="s">
        <v>20</v>
      </c>
      <c r="J102" t="s">
        <v>18</v>
      </c>
      <c r="K102" t="s">
        <v>90</v>
      </c>
      <c r="L102" t="s">
        <v>33</v>
      </c>
      <c r="M102" s="15">
        <f t="shared" si="7"/>
        <v>1.0303200000000001</v>
      </c>
    </row>
    <row r="103" spans="1:13" x14ac:dyDescent="0.3">
      <c r="A103" s="14">
        <v>45902</v>
      </c>
      <c r="B103" s="19">
        <f t="shared" si="6"/>
        <v>9</v>
      </c>
      <c r="C103" t="s">
        <v>34</v>
      </c>
      <c r="D103">
        <v>13238</v>
      </c>
      <c r="E103">
        <v>93</v>
      </c>
      <c r="F103">
        <v>2.2000000000000002</v>
      </c>
      <c r="G103">
        <v>5.9</v>
      </c>
      <c r="H103" t="s">
        <v>32</v>
      </c>
      <c r="I103" t="s">
        <v>36</v>
      </c>
      <c r="J103" t="s">
        <v>31</v>
      </c>
      <c r="K103" t="s">
        <v>132</v>
      </c>
      <c r="L103" t="s">
        <v>1</v>
      </c>
      <c r="M103" s="15">
        <f t="shared" si="7"/>
        <v>1.2070200000000002</v>
      </c>
    </row>
    <row r="104" spans="1:13" x14ac:dyDescent="0.3">
      <c r="A104" s="14">
        <v>45904</v>
      </c>
      <c r="B104" s="19">
        <f t="shared" si="6"/>
        <v>9</v>
      </c>
      <c r="C104" t="s">
        <v>30</v>
      </c>
      <c r="D104">
        <v>2322</v>
      </c>
      <c r="E104">
        <v>57</v>
      </c>
      <c r="F104">
        <v>0.8</v>
      </c>
      <c r="G104">
        <v>7.2</v>
      </c>
      <c r="H104" t="s">
        <v>32</v>
      </c>
      <c r="I104" t="s">
        <v>15</v>
      </c>
      <c r="J104" t="s">
        <v>29</v>
      </c>
      <c r="K104" t="s">
        <v>110</v>
      </c>
      <c r="L104" t="s">
        <v>24</v>
      </c>
      <c r="M104" s="15">
        <f t="shared" si="7"/>
        <v>0.54288000000000003</v>
      </c>
    </row>
    <row r="105" spans="1:13" x14ac:dyDescent="0.3">
      <c r="A105" s="14">
        <v>45903</v>
      </c>
      <c r="B105" s="19">
        <f t="shared" si="6"/>
        <v>9</v>
      </c>
      <c r="C105" t="s">
        <v>22</v>
      </c>
      <c r="D105">
        <v>4378</v>
      </c>
      <c r="E105">
        <v>57</v>
      </c>
      <c r="F105">
        <v>0.7</v>
      </c>
      <c r="G105">
        <v>5.4</v>
      </c>
      <c r="H105" t="s">
        <v>32</v>
      </c>
      <c r="I105" t="s">
        <v>36</v>
      </c>
      <c r="J105" t="s">
        <v>29</v>
      </c>
      <c r="K105" t="s">
        <v>94</v>
      </c>
      <c r="L105" t="s">
        <v>24</v>
      </c>
      <c r="M105" s="15">
        <f t="shared" si="7"/>
        <v>0.57011999999999996</v>
      </c>
    </row>
    <row r="106" spans="1:13" x14ac:dyDescent="0.3">
      <c r="A106" s="14">
        <v>45931</v>
      </c>
      <c r="B106" s="19">
        <f t="shared" si="6"/>
        <v>10</v>
      </c>
      <c r="C106" t="s">
        <v>30</v>
      </c>
      <c r="D106">
        <v>4604</v>
      </c>
      <c r="E106">
        <v>57</v>
      </c>
      <c r="F106">
        <v>1.6</v>
      </c>
      <c r="G106">
        <v>7.3</v>
      </c>
      <c r="H106" t="s">
        <v>23</v>
      </c>
      <c r="I106" t="s">
        <v>15</v>
      </c>
      <c r="J106" t="s">
        <v>21</v>
      </c>
      <c r="K106" t="s">
        <v>92</v>
      </c>
      <c r="L106" t="s">
        <v>2</v>
      </c>
      <c r="M106" s="15">
        <f t="shared" si="7"/>
        <v>0.71665999999999996</v>
      </c>
    </row>
    <row r="107" spans="1:13" x14ac:dyDescent="0.3">
      <c r="A107" s="14">
        <v>45934</v>
      </c>
      <c r="B107" s="19">
        <f t="shared" si="6"/>
        <v>10</v>
      </c>
      <c r="C107" t="s">
        <v>22</v>
      </c>
      <c r="D107">
        <v>4000</v>
      </c>
      <c r="E107">
        <v>56</v>
      </c>
      <c r="F107">
        <v>2.4</v>
      </c>
      <c r="G107">
        <v>5.7</v>
      </c>
      <c r="H107" t="s">
        <v>32</v>
      </c>
      <c r="I107" t="s">
        <v>38</v>
      </c>
      <c r="J107" t="s">
        <v>18</v>
      </c>
      <c r="K107" t="s">
        <v>121</v>
      </c>
      <c r="L107" t="s">
        <v>2</v>
      </c>
      <c r="M107" s="15">
        <f t="shared" si="7"/>
        <v>0.72916666666666674</v>
      </c>
    </row>
    <row r="108" spans="1:13" x14ac:dyDescent="0.3">
      <c r="A108" s="14">
        <v>45964</v>
      </c>
      <c r="B108" s="19">
        <f t="shared" si="6"/>
        <v>11</v>
      </c>
      <c r="C108" t="s">
        <v>30</v>
      </c>
      <c r="D108">
        <v>7370</v>
      </c>
      <c r="E108">
        <v>118</v>
      </c>
      <c r="F108">
        <v>3.1</v>
      </c>
      <c r="G108">
        <v>5.8</v>
      </c>
      <c r="H108" t="s">
        <v>32</v>
      </c>
      <c r="I108" t="s">
        <v>27</v>
      </c>
      <c r="J108" t="s">
        <v>21</v>
      </c>
      <c r="K108" t="s">
        <v>103</v>
      </c>
      <c r="L108" t="s">
        <v>33</v>
      </c>
      <c r="M108" s="15">
        <f t="shared" si="7"/>
        <v>1.1431333333333333</v>
      </c>
    </row>
    <row r="109" spans="1:13" x14ac:dyDescent="0.3">
      <c r="A109" s="14">
        <v>45963</v>
      </c>
      <c r="B109" s="19">
        <f t="shared" si="6"/>
        <v>11</v>
      </c>
      <c r="C109" t="s">
        <v>13</v>
      </c>
      <c r="D109">
        <v>11317</v>
      </c>
      <c r="E109">
        <v>43</v>
      </c>
      <c r="F109">
        <v>0.5</v>
      </c>
      <c r="G109">
        <v>6.5</v>
      </c>
      <c r="H109" t="s">
        <v>14</v>
      </c>
      <c r="I109" t="s">
        <v>15</v>
      </c>
      <c r="J109" t="s">
        <v>18</v>
      </c>
      <c r="K109" t="s">
        <v>108</v>
      </c>
      <c r="L109" t="s">
        <v>2</v>
      </c>
      <c r="M109" s="15">
        <f t="shared" si="7"/>
        <v>0.80851333333333331</v>
      </c>
    </row>
    <row r="110" spans="1:13" x14ac:dyDescent="0.3">
      <c r="A110" s="14">
        <v>45965</v>
      </c>
      <c r="B110" s="19">
        <f t="shared" si="6"/>
        <v>11</v>
      </c>
      <c r="C110" t="s">
        <v>19</v>
      </c>
      <c r="D110">
        <v>14692</v>
      </c>
      <c r="E110">
        <v>107</v>
      </c>
      <c r="F110">
        <v>3.1</v>
      </c>
      <c r="G110">
        <v>5.0999999999999996</v>
      </c>
      <c r="H110" t="s">
        <v>23</v>
      </c>
      <c r="I110" t="s">
        <v>27</v>
      </c>
      <c r="J110" t="s">
        <v>31</v>
      </c>
      <c r="K110" t="s">
        <v>114</v>
      </c>
      <c r="L110" t="s">
        <v>1</v>
      </c>
      <c r="M110" s="15">
        <f t="shared" si="7"/>
        <v>1.3818466666666669</v>
      </c>
    </row>
    <row r="111" spans="1:13" x14ac:dyDescent="0.3">
      <c r="A111" s="14">
        <v>45994</v>
      </c>
      <c r="B111" s="19">
        <f t="shared" si="6"/>
        <v>12</v>
      </c>
      <c r="C111" t="s">
        <v>19</v>
      </c>
      <c r="D111">
        <v>7729</v>
      </c>
      <c r="E111">
        <v>99</v>
      </c>
      <c r="F111">
        <v>2.1</v>
      </c>
      <c r="G111">
        <v>5.2</v>
      </c>
      <c r="H111" t="s">
        <v>32</v>
      </c>
      <c r="I111" t="s">
        <v>20</v>
      </c>
      <c r="J111" t="s">
        <v>21</v>
      </c>
      <c r="K111" t="s">
        <v>133</v>
      </c>
      <c r="L111" t="s">
        <v>33</v>
      </c>
      <c r="M111" s="15">
        <f t="shared" si="7"/>
        <v>0.97916000000000003</v>
      </c>
    </row>
    <row r="112" spans="1:13" x14ac:dyDescent="0.3">
      <c r="A112" s="14">
        <v>45993</v>
      </c>
      <c r="B112" s="19">
        <f t="shared" si="6"/>
        <v>12</v>
      </c>
      <c r="C112" t="s">
        <v>34</v>
      </c>
      <c r="D112">
        <v>10367</v>
      </c>
      <c r="E112">
        <v>19</v>
      </c>
      <c r="F112">
        <v>1.8</v>
      </c>
      <c r="G112">
        <v>6.8</v>
      </c>
      <c r="H112" t="s">
        <v>23</v>
      </c>
      <c r="I112" t="s">
        <v>37</v>
      </c>
      <c r="J112" t="s">
        <v>31</v>
      </c>
      <c r="K112" t="s">
        <v>89</v>
      </c>
      <c r="L112" t="s">
        <v>24</v>
      </c>
      <c r="M112" s="15">
        <f t="shared" si="7"/>
        <v>0.82801333333333338</v>
      </c>
    </row>
    <row r="113" spans="1:13" x14ac:dyDescent="0.3">
      <c r="A113" s="14">
        <v>45992</v>
      </c>
      <c r="B113" s="19">
        <f t="shared" si="6"/>
        <v>12</v>
      </c>
      <c r="C113" t="s">
        <v>35</v>
      </c>
      <c r="D113">
        <v>2363</v>
      </c>
      <c r="E113">
        <v>112</v>
      </c>
      <c r="F113">
        <v>1.9</v>
      </c>
      <c r="G113">
        <v>6.8</v>
      </c>
      <c r="H113" t="s">
        <v>32</v>
      </c>
      <c r="I113" t="s">
        <v>15</v>
      </c>
      <c r="J113" t="s">
        <v>16</v>
      </c>
      <c r="K113" t="s">
        <v>108</v>
      </c>
      <c r="L113" t="s">
        <v>1</v>
      </c>
      <c r="M113" s="15">
        <f t="shared" si="7"/>
        <v>0.82785333333333333</v>
      </c>
    </row>
    <row r="114" spans="1:13" x14ac:dyDescent="0.3">
      <c r="A114" s="14">
        <v>45995</v>
      </c>
      <c r="B114" s="19">
        <f t="shared" si="6"/>
        <v>12</v>
      </c>
      <c r="C114" t="s">
        <v>35</v>
      </c>
      <c r="D114">
        <v>6331</v>
      </c>
      <c r="E114">
        <v>90</v>
      </c>
      <c r="F114">
        <v>2</v>
      </c>
      <c r="G114">
        <v>6.6</v>
      </c>
      <c r="H114" t="s">
        <v>32</v>
      </c>
      <c r="I114" t="s">
        <v>28</v>
      </c>
      <c r="J114" t="s">
        <v>29</v>
      </c>
      <c r="K114" t="s">
        <v>110</v>
      </c>
      <c r="L114" t="s">
        <v>24</v>
      </c>
      <c r="M114" s="15">
        <f t="shared" si="7"/>
        <v>0.91824000000000017</v>
      </c>
    </row>
  </sheetData>
  <autoFilter ref="A1:O114" xr:uid="{755E20E8-B3DC-4B2E-A107-621D428299A6}"/>
  <sortState xmlns:xlrd2="http://schemas.microsoft.com/office/spreadsheetml/2017/richdata2" ref="A2:M114">
    <sortCondition ref="B2:B114"/>
    <sortCondition ref="K2:K114"/>
  </sortState>
  <conditionalFormatting sqref="G2:G114">
    <cfRule type="cellIs" dxfId="2" priority="3" operator="lessThanOrEqual">
      <formula>5</formula>
    </cfRule>
  </conditionalFormatting>
  <conditionalFormatting sqref="H2:H114">
    <cfRule type="containsText" dxfId="1" priority="2" operator="containsText" text="Excellent">
      <formula>NOT(ISERROR(SEARCH("Excellent",H2)))</formula>
    </cfRule>
  </conditionalFormatting>
  <conditionalFormatting sqref="M1:M1048576">
    <cfRule type="top10" dxfId="0" priority="1" rank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B324-E1D3-4994-BEB4-BADEDD05A648}">
  <dimension ref="A1:D24"/>
  <sheetViews>
    <sheetView tabSelected="1" topLeftCell="A51" zoomScaleNormal="100" workbookViewId="0">
      <selection activeCell="C24" sqref="C24"/>
    </sheetView>
  </sheetViews>
  <sheetFormatPr defaultColWidth="9.109375" defaultRowHeight="14.4" x14ac:dyDescent="0.3"/>
  <cols>
    <col min="1" max="1" width="31.33203125" style="3" customWidth="1"/>
    <col min="2" max="2" width="44.33203125" style="3" customWidth="1"/>
    <col min="3" max="3" width="7.109375" style="3" bestFit="1" customWidth="1"/>
    <col min="4" max="4" width="50.5546875" style="3" customWidth="1"/>
    <col min="5" max="16384" width="9.109375" style="3"/>
  </cols>
  <sheetData>
    <row r="1" spans="1:4" s="2" customFormat="1" x14ac:dyDescent="0.3">
      <c r="A1" s="1" t="s">
        <v>61</v>
      </c>
      <c r="B1" s="1" t="s">
        <v>39</v>
      </c>
      <c r="C1" s="1" t="s">
        <v>57</v>
      </c>
      <c r="D1" s="1" t="s">
        <v>58</v>
      </c>
    </row>
    <row r="2" spans="1:4" x14ac:dyDescent="0.3">
      <c r="A2" s="23" t="s">
        <v>62</v>
      </c>
      <c r="B2" s="3" t="s">
        <v>40</v>
      </c>
      <c r="C2" s="4" t="b">
        <v>1</v>
      </c>
    </row>
    <row r="3" spans="1:4" ht="30" customHeight="1" x14ac:dyDescent="0.3">
      <c r="A3" s="23"/>
      <c r="B3" s="5" t="s">
        <v>41</v>
      </c>
      <c r="C3" s="6" t="b">
        <v>1</v>
      </c>
    </row>
    <row r="4" spans="1:4" x14ac:dyDescent="0.3">
      <c r="A4" s="23"/>
      <c r="B4" s="3" t="s">
        <v>42</v>
      </c>
      <c r="C4" s="6" t="b">
        <v>1</v>
      </c>
    </row>
    <row r="5" spans="1:4" ht="30" customHeight="1" x14ac:dyDescent="0.3">
      <c r="A5" s="23"/>
      <c r="B5" s="5" t="s">
        <v>43</v>
      </c>
      <c r="C5" s="6" t="b">
        <v>1</v>
      </c>
    </row>
    <row r="6" spans="1:4" ht="45" customHeight="1" x14ac:dyDescent="0.3">
      <c r="A6" s="23"/>
      <c r="B6" s="7" t="s">
        <v>44</v>
      </c>
      <c r="C6" s="6" t="b">
        <v>1</v>
      </c>
    </row>
    <row r="7" spans="1:4" ht="60" customHeight="1" x14ac:dyDescent="0.3">
      <c r="A7" s="23"/>
      <c r="B7" s="5" t="s">
        <v>45</v>
      </c>
      <c r="C7" s="6" t="b">
        <v>1</v>
      </c>
    </row>
    <row r="8" spans="1:4" ht="30" customHeight="1" x14ac:dyDescent="0.3">
      <c r="A8" s="23"/>
      <c r="B8" s="5" t="s">
        <v>47</v>
      </c>
      <c r="C8" s="6" t="b">
        <v>1</v>
      </c>
      <c r="D8" s="8" t="s">
        <v>48</v>
      </c>
    </row>
    <row r="9" spans="1:4" x14ac:dyDescent="0.3">
      <c r="A9" s="23"/>
      <c r="B9" s="5" t="s">
        <v>46</v>
      </c>
      <c r="C9" s="6" t="b">
        <v>1</v>
      </c>
    </row>
    <row r="10" spans="1:4" ht="75" customHeight="1" x14ac:dyDescent="0.3">
      <c r="A10" s="23"/>
      <c r="B10" s="5" t="s">
        <v>74</v>
      </c>
      <c r="C10" s="6" t="b">
        <v>1</v>
      </c>
      <c r="D10" s="8" t="s">
        <v>49</v>
      </c>
    </row>
    <row r="11" spans="1:4" x14ac:dyDescent="0.3">
      <c r="B11" s="5"/>
      <c r="C11" s="9"/>
      <c r="D11" s="8"/>
    </row>
    <row r="12" spans="1:4" x14ac:dyDescent="0.3">
      <c r="A12" s="23" t="s">
        <v>63</v>
      </c>
      <c r="B12" s="5" t="s">
        <v>50</v>
      </c>
      <c r="C12" s="6" t="b">
        <v>1</v>
      </c>
    </row>
    <row r="13" spans="1:4" x14ac:dyDescent="0.3">
      <c r="A13" s="23"/>
      <c r="B13" s="5" t="s">
        <v>51</v>
      </c>
      <c r="C13" s="6" t="b">
        <v>1</v>
      </c>
      <c r="D13" s="3" t="s">
        <v>52</v>
      </c>
    </row>
    <row r="14" spans="1:4" ht="43.2" x14ac:dyDescent="0.3">
      <c r="A14" s="23"/>
      <c r="B14" s="7" t="s">
        <v>53</v>
      </c>
      <c r="C14" s="6" t="b">
        <v>1</v>
      </c>
    </row>
    <row r="15" spans="1:4" ht="43.2" x14ac:dyDescent="0.3">
      <c r="A15" s="23"/>
      <c r="B15" s="7" t="s">
        <v>54</v>
      </c>
      <c r="C15" s="6" t="b">
        <v>1</v>
      </c>
    </row>
    <row r="16" spans="1:4" ht="28.8" x14ac:dyDescent="0.3">
      <c r="A16" s="23"/>
      <c r="B16" s="5" t="s">
        <v>55</v>
      </c>
      <c r="C16" s="6" t="b">
        <v>1</v>
      </c>
      <c r="D16" s="10" t="s">
        <v>56</v>
      </c>
    </row>
    <row r="17" spans="1:4" ht="43.2" x14ac:dyDescent="0.3">
      <c r="A17" s="23"/>
      <c r="B17" s="7" t="s">
        <v>59</v>
      </c>
      <c r="C17" s="6" t="b">
        <v>1</v>
      </c>
      <c r="D17" s="5" t="s">
        <v>60</v>
      </c>
    </row>
    <row r="19" spans="1:4" ht="28.8" x14ac:dyDescent="0.3">
      <c r="A19" s="24" t="s">
        <v>70</v>
      </c>
      <c r="B19" s="7" t="s">
        <v>64</v>
      </c>
      <c r="C19" s="6" t="b">
        <v>1</v>
      </c>
      <c r="D19" s="3" t="s">
        <v>71</v>
      </c>
    </row>
    <row r="20" spans="1:4" ht="28.8" x14ac:dyDescent="0.3">
      <c r="A20" s="24"/>
      <c r="B20" s="7" t="s">
        <v>65</v>
      </c>
      <c r="C20" s="6" t="b">
        <v>1</v>
      </c>
      <c r="D20" s="3" t="s">
        <v>72</v>
      </c>
    </row>
    <row r="21" spans="1:4" ht="28.8" x14ac:dyDescent="0.3">
      <c r="A21" s="24"/>
      <c r="B21" s="7" t="s">
        <v>66</v>
      </c>
      <c r="C21" s="6" t="b">
        <v>1</v>
      </c>
      <c r="D21" s="3" t="s">
        <v>73</v>
      </c>
    </row>
    <row r="22" spans="1:4" ht="28.8" x14ac:dyDescent="0.3">
      <c r="A22" s="24"/>
      <c r="B22" s="7" t="s">
        <v>67</v>
      </c>
      <c r="C22" s="6" t="b">
        <v>1</v>
      </c>
    </row>
    <row r="23" spans="1:4" ht="28.8" x14ac:dyDescent="0.3">
      <c r="A23" s="24"/>
      <c r="B23" s="7" t="s">
        <v>68</v>
      </c>
      <c r="C23" s="6" t="b">
        <v>1</v>
      </c>
    </row>
    <row r="24" spans="1:4" ht="28.8" x14ac:dyDescent="0.3">
      <c r="A24" s="24"/>
      <c r="B24" s="7" t="s">
        <v>69</v>
      </c>
      <c r="C24" s="6" t="b">
        <v>1</v>
      </c>
    </row>
  </sheetData>
  <mergeCells count="3">
    <mergeCell ref="A2:A10"/>
    <mergeCell ref="A12:A17"/>
    <mergeCell ref="A19:A24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D45FC2-6C8B-4716-8B65-BE24D822B2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Sample Wellness Dataset</vt:lpstr>
      <vt:lpstr>To 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Ahmed</dc:creator>
  <cp:lastModifiedBy>s.a.sammour</cp:lastModifiedBy>
  <dcterms:created xsi:type="dcterms:W3CDTF">2025-09-14T23:22:12Z</dcterms:created>
  <dcterms:modified xsi:type="dcterms:W3CDTF">2026-01-16T06:37:00Z</dcterms:modified>
</cp:coreProperties>
</file>