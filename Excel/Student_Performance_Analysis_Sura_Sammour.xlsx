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uras\OneDrive\Desktop\ibt Bootcamp\week 2 Assignment\"/>
    </mc:Choice>
  </mc:AlternateContent>
  <xr:revisionPtr revIDLastSave="0" documentId="13_ncr:1_{553309EF-4C81-48ED-8963-0DBF66F80007}" xr6:coauthVersionLast="47" xr6:coauthVersionMax="47" xr10:uidLastSave="{00000000-0000-0000-0000-000000000000}"/>
  <bookViews>
    <workbookView xWindow="-108" yWindow="-108" windowWidth="23256" windowHeight="12456" activeTab="3" xr2:uid="{F1BFF08B-AFB4-44AC-911D-CF2F020378A8}"/>
  </bookViews>
  <sheets>
    <sheet name="Student_Record" sheetId="1" r:id="rId1"/>
    <sheet name="Pivot_Table" sheetId="3" r:id="rId2"/>
    <sheet name="VLOOKUP" sheetId="5" r:id="rId3"/>
    <sheet name="Dashboard" sheetId="4" r:id="rId4"/>
  </sheets>
  <definedNames>
    <definedName name="Slicer_Department">#N/A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4" l="1"/>
  <c r="E2" i="5"/>
</calcChain>
</file>

<file path=xl/sharedStrings.xml><?xml version="1.0" encoding="utf-8"?>
<sst xmlns="http://schemas.openxmlformats.org/spreadsheetml/2006/main" count="1266" uniqueCount="432">
  <si>
    <t>StudentID</t>
  </si>
  <si>
    <t>Name</t>
  </si>
  <si>
    <t>Age</t>
  </si>
  <si>
    <t>Email</t>
  </si>
  <si>
    <t>Department</t>
  </si>
  <si>
    <t>GPA</t>
  </si>
  <si>
    <t>GraduationYear</t>
  </si>
  <si>
    <t>Attendance</t>
  </si>
  <si>
    <t>Mode of Study</t>
  </si>
  <si>
    <t>Gender</t>
  </si>
  <si>
    <t>David Palmer</t>
  </si>
  <si>
    <t>sean43@hotmail.com</t>
  </si>
  <si>
    <t>Mathematics</t>
  </si>
  <si>
    <t>FULL TIME</t>
  </si>
  <si>
    <t>Male</t>
  </si>
  <si>
    <t>Andrew Roach</t>
  </si>
  <si>
    <t>vbecker@harvey.com</t>
  </si>
  <si>
    <t>Chemistry</t>
  </si>
  <si>
    <t>Jonathan Gonzalez</t>
  </si>
  <si>
    <t>hollydavis@gmail.com</t>
  </si>
  <si>
    <t>Physics</t>
  </si>
  <si>
    <t>Female</t>
  </si>
  <si>
    <t>Kenneth Morrow</t>
  </si>
  <si>
    <t>ganderson@wheeler-atkins.info</t>
  </si>
  <si>
    <t>Kaitlyn Martinez</t>
  </si>
  <si>
    <t>hayesdiane@gmail.com</t>
  </si>
  <si>
    <t>Tiffany Wolf</t>
  </si>
  <si>
    <t>qanderson@taylor.com</t>
  </si>
  <si>
    <t>James Reyes</t>
  </si>
  <si>
    <t>drodriguez@nguyen-cooper.info</t>
  </si>
  <si>
    <t>Samantha Sellers</t>
  </si>
  <si>
    <t>michelle27@hubbard-webster.com</t>
  </si>
  <si>
    <t>Michael Kim</t>
  </si>
  <si>
    <t>jacksonhannah@miles.com</t>
  </si>
  <si>
    <t>Computer Science</t>
  </si>
  <si>
    <t>Emily Davis</t>
  </si>
  <si>
    <t>george02@hotmail.com</t>
  </si>
  <si>
    <t>Adam Evans</t>
  </si>
  <si>
    <t>bryantmargaret@hernandez.com</t>
  </si>
  <si>
    <t>Alejandra Galloway</t>
  </si>
  <si>
    <t>danielpowers@schmidt.com</t>
  </si>
  <si>
    <t>Cindy Johnston</t>
  </si>
  <si>
    <t>james96@webb.org</t>
  </si>
  <si>
    <t>Taylor Krueger II</t>
  </si>
  <si>
    <t>hleon@smith.net</t>
  </si>
  <si>
    <t>Kimberly Vang</t>
  </si>
  <si>
    <t>carolyn34@yahoo.com</t>
  </si>
  <si>
    <t>Alex Allen</t>
  </si>
  <si>
    <t>shawkaren@smith.net</t>
  </si>
  <si>
    <t>Dawn Caldwell</t>
  </si>
  <si>
    <t>kelly96@gmail.com</t>
  </si>
  <si>
    <t>Connie Cline</t>
  </si>
  <si>
    <t>patelmercedes@green.com</t>
  </si>
  <si>
    <t>Christine Smith</t>
  </si>
  <si>
    <t>nicholasmejia@hotmail.com</t>
  </si>
  <si>
    <t>PART TIME</t>
  </si>
  <si>
    <t>Dana Burke</t>
  </si>
  <si>
    <t>davismichael@yahoo.com</t>
  </si>
  <si>
    <t>Suzanne Lopez</t>
  </si>
  <si>
    <t>thomasbennett@gmail.com</t>
  </si>
  <si>
    <t>Meagan Thompson</t>
  </si>
  <si>
    <t>robert13@gmail.com</t>
  </si>
  <si>
    <t>Erica Welch</t>
  </si>
  <si>
    <t>hernandezbrent@delgado-terry.com</t>
  </si>
  <si>
    <t>Debra Reilly</t>
  </si>
  <si>
    <t>amy78@jackson.com</t>
  </si>
  <si>
    <t>Rachel Hill</t>
  </si>
  <si>
    <t>elizabeth41@hill-johnson.com</t>
  </si>
  <si>
    <t>Lauren Hill</t>
  </si>
  <si>
    <t>timothy00@lopez.com</t>
  </si>
  <si>
    <t>Biology</t>
  </si>
  <si>
    <t>Andrea Castro</t>
  </si>
  <si>
    <t>valvarez@hotmail.com</t>
  </si>
  <si>
    <t>Sarah Cruz</t>
  </si>
  <si>
    <t>melissa92@hicks.com</t>
  </si>
  <si>
    <t>Teresa Patrick PhD</t>
  </si>
  <si>
    <t>hbrooks@nelson-bennett.info</t>
  </si>
  <si>
    <t>Brittany Thompson</t>
  </si>
  <si>
    <t>chavezallison@yahoo.com</t>
  </si>
  <si>
    <t>Sean Wells</t>
  </si>
  <si>
    <t>barreracourtney@nguyen.com</t>
  </si>
  <si>
    <t>Robert Simmons</t>
  </si>
  <si>
    <t>daniel00@gmail.com</t>
  </si>
  <si>
    <t>William Holt</t>
  </si>
  <si>
    <t>warrensmith@yahoo.com</t>
  </si>
  <si>
    <t>Brandon Garcia</t>
  </si>
  <si>
    <t>brandon58@cummings-johnson.biz</t>
  </si>
  <si>
    <t>Alexander Jones</t>
  </si>
  <si>
    <t>emily28@hotmail.com</t>
  </si>
  <si>
    <t>William Anderson</t>
  </si>
  <si>
    <t>jacob29@gmail.com</t>
  </si>
  <si>
    <t>Shawna Glover</t>
  </si>
  <si>
    <t>alison62@barrett.com</t>
  </si>
  <si>
    <t>Susan Galvan</t>
  </si>
  <si>
    <t>theresa04@gmail.com</t>
  </si>
  <si>
    <t>Jason King</t>
  </si>
  <si>
    <t>oliviawalls@hotmail.com</t>
  </si>
  <si>
    <t>Alexander Simmons</t>
  </si>
  <si>
    <t>jrodriguez@cox.info</t>
  </si>
  <si>
    <t>James Moore</t>
  </si>
  <si>
    <t>daniel72@long.com</t>
  </si>
  <si>
    <t>Frank Garza</t>
  </si>
  <si>
    <t>jennifer82@cruz.com</t>
  </si>
  <si>
    <t>Cynthia Parker DVM</t>
  </si>
  <si>
    <t>jasminelewis@washington.com</t>
  </si>
  <si>
    <t>Robert Smith</t>
  </si>
  <si>
    <t>amanda74@gmail.com</t>
  </si>
  <si>
    <t>Marie Valdez</t>
  </si>
  <si>
    <t>xwarner@nelson.com</t>
  </si>
  <si>
    <t>Patty Duke</t>
  </si>
  <si>
    <t>sparksanna@gmail.com</t>
  </si>
  <si>
    <t>Teresa Lucas</t>
  </si>
  <si>
    <t>epatel@edwards-smith.info</t>
  </si>
  <si>
    <t>Melanie Lowe</t>
  </si>
  <si>
    <t>nicolepruitt@bell-gibson.org</t>
  </si>
  <si>
    <t>Isaiah Morales</t>
  </si>
  <si>
    <t>lutzjason@neal.biz</t>
  </si>
  <si>
    <t>Connor Fry</t>
  </si>
  <si>
    <t>masseytom@gmail.com</t>
  </si>
  <si>
    <t>Autumn Nguyen</t>
  </si>
  <si>
    <t>john53@hotmail.com</t>
  </si>
  <si>
    <t>Jasmin Pena</t>
  </si>
  <si>
    <t>ajackson@hotmail.com</t>
  </si>
  <si>
    <t>Mrs. Carol Williams MD</t>
  </si>
  <si>
    <t>janice01@yahoo.com</t>
  </si>
  <si>
    <t>Andrew Lutz</t>
  </si>
  <si>
    <t>patrick16@yahoo.com</t>
  </si>
  <si>
    <t>Julie Martin</t>
  </si>
  <si>
    <t>angelawilliams@gmail.com</t>
  </si>
  <si>
    <t>Lisa Brown</t>
  </si>
  <si>
    <t>annette64@gmail.com</t>
  </si>
  <si>
    <t>Holly King</t>
  </si>
  <si>
    <t>williamsjack@randolph.com</t>
  </si>
  <si>
    <t>Ricky Sanders</t>
  </si>
  <si>
    <t>buckleyandrew@gmail.com</t>
  </si>
  <si>
    <t>Gary Taylor</t>
  </si>
  <si>
    <t>veronicarogers@yahoo.com</t>
  </si>
  <si>
    <t>Arthur Thornton</t>
  </si>
  <si>
    <t>kirstenowen@yahoo.com</t>
  </si>
  <si>
    <t>Eric Leonard</t>
  </si>
  <si>
    <t>theresarosales@gmail.com</t>
  </si>
  <si>
    <t>William Smith</t>
  </si>
  <si>
    <t>daniel93@lee-morris.com</t>
  </si>
  <si>
    <t>Daniel Daniel</t>
  </si>
  <si>
    <t>christianbrown@yahoo.com</t>
  </si>
  <si>
    <t>Joel Nicholson</t>
  </si>
  <si>
    <t>michaelpratt@murray.net</t>
  </si>
  <si>
    <t>Benjamin Burke</t>
  </si>
  <si>
    <t>colemary@cochran.net</t>
  </si>
  <si>
    <t>Brandi Roberts</t>
  </si>
  <si>
    <t>joshua76@yahoo.com</t>
  </si>
  <si>
    <t>Patrick Anderson</t>
  </si>
  <si>
    <t>meganlewis@butler-bright.com</t>
  </si>
  <si>
    <t>Jerry Butler</t>
  </si>
  <si>
    <t>sherri94@hines.net</t>
  </si>
  <si>
    <t>Cynthia Garrett</t>
  </si>
  <si>
    <t>rhall@gmail.com</t>
  </si>
  <si>
    <t>Carrie Hall</t>
  </si>
  <si>
    <t>stewartlori@yahoo.com</t>
  </si>
  <si>
    <t>Paul Brown</t>
  </si>
  <si>
    <t>uyoder@miller.com</t>
  </si>
  <si>
    <t>William Villarreal</t>
  </si>
  <si>
    <t>petersoncheryl@davis-bush.com</t>
  </si>
  <si>
    <t>Randy Pittman</t>
  </si>
  <si>
    <t>robin33@knapp.com</t>
  </si>
  <si>
    <t>Alexandra Roth</t>
  </si>
  <si>
    <t>kristin46@hotmail.com</t>
  </si>
  <si>
    <t>Stephanie Mitchell</t>
  </si>
  <si>
    <t>michellemoody@williams.com</t>
  </si>
  <si>
    <t>Michelle Kemp</t>
  </si>
  <si>
    <t>susanwilliams@hotmail.com</t>
  </si>
  <si>
    <t>Corey Hicks</t>
  </si>
  <si>
    <t>fosterglen@gmail.com</t>
  </si>
  <si>
    <t>Melinda Hancock</t>
  </si>
  <si>
    <t>linda93@gmail.com</t>
  </si>
  <si>
    <t>Julian Smith</t>
  </si>
  <si>
    <t>joseph78@gmail.com</t>
  </si>
  <si>
    <t>Brooke Davis</t>
  </si>
  <si>
    <t>millerkevin@white.com</t>
  </si>
  <si>
    <t>Diane Williams</t>
  </si>
  <si>
    <t>zmclean@boyd.net</t>
  </si>
  <si>
    <t>Stephanie Beck</t>
  </si>
  <si>
    <t>rwinters@hotmail.com</t>
  </si>
  <si>
    <t>Joe Kim</t>
  </si>
  <si>
    <t>salinaschristine@gmail.com</t>
  </si>
  <si>
    <t>Tammy Byrd</t>
  </si>
  <si>
    <t>phillipsmith@gmail.com</t>
  </si>
  <si>
    <t>Scott Gomez</t>
  </si>
  <si>
    <t>jacksonjulie@estrada.org</t>
  </si>
  <si>
    <t>Sean Davis</t>
  </si>
  <si>
    <t>tina80@miller-navarro.com</t>
  </si>
  <si>
    <t>Luis Hunter</t>
  </si>
  <si>
    <t>uschultz@palmer-lambert.biz</t>
  </si>
  <si>
    <t>Rachel Mahoney MD</t>
  </si>
  <si>
    <t>teresamitchell@hernandez.net</t>
  </si>
  <si>
    <t>Christina Woodward</t>
  </si>
  <si>
    <t>juan08@yahoo.com</t>
  </si>
  <si>
    <t>Shawna Moore</t>
  </si>
  <si>
    <t>joseyoung@richardson.net</t>
  </si>
  <si>
    <t>Stacy Jones</t>
  </si>
  <si>
    <t>currymelissa@coleman-meza.info</t>
  </si>
  <si>
    <t>Ms. Susan Suarez</t>
  </si>
  <si>
    <t>amanda13@smith.org</t>
  </si>
  <si>
    <t>Donna Briggs</t>
  </si>
  <si>
    <t>avalenzuela@norris-wood.org</t>
  </si>
  <si>
    <t>Tiffany Russell</t>
  </si>
  <si>
    <t>kimberly95@gmail.com</t>
  </si>
  <si>
    <t>Shawn Phillips</t>
  </si>
  <si>
    <t>mbass@hotmail.com</t>
  </si>
  <si>
    <t>Peter Wilson</t>
  </si>
  <si>
    <t>qcantu@woods.info</t>
  </si>
  <si>
    <t>Joe Bernard</t>
  </si>
  <si>
    <t>kimberly88@herring.info</t>
  </si>
  <si>
    <t>Brittany Hamilton</t>
  </si>
  <si>
    <t>smithkaren@yahoo.com</t>
  </si>
  <si>
    <t>Maria Rogers</t>
  </si>
  <si>
    <t>reneemartinez@hotmail.com</t>
  </si>
  <si>
    <t>Rebecca Miller</t>
  </si>
  <si>
    <t>michaelconner@hotmail.com</t>
  </si>
  <si>
    <t>Bryan Velazquez</t>
  </si>
  <si>
    <t>bpowell@gmail.com</t>
  </si>
  <si>
    <t>William Montgomery</t>
  </si>
  <si>
    <t>chavezryan@smith.com</t>
  </si>
  <si>
    <t>Robert Berg</t>
  </si>
  <si>
    <t>stephensbrenda@perez.com</t>
  </si>
  <si>
    <t>Peter White</t>
  </si>
  <si>
    <t>goodwinrachel@burke.org</t>
  </si>
  <si>
    <t>Ashley Garcia</t>
  </si>
  <si>
    <t>daviscory@yahoo.com</t>
  </si>
  <si>
    <t>Brandon Smith</t>
  </si>
  <si>
    <t>ortizjoseph@moore.com</t>
  </si>
  <si>
    <t>Kristen Orozco</t>
  </si>
  <si>
    <t>vbonilla@ho.com</t>
  </si>
  <si>
    <t>Joanna Logan</t>
  </si>
  <si>
    <t>yflores@brooks.info</t>
  </si>
  <si>
    <t>Mark Harper</t>
  </si>
  <si>
    <t>mikayla15@chavez.com</t>
  </si>
  <si>
    <t>Jaime Hanson</t>
  </si>
  <si>
    <t>whitechristine@gonzalez.info</t>
  </si>
  <si>
    <t>Johnathan Morris</t>
  </si>
  <si>
    <t>cassiemcdonald@gmail.com</t>
  </si>
  <si>
    <t>Jeffrey Sosa</t>
  </si>
  <si>
    <t>nhardin@thomas.com</t>
  </si>
  <si>
    <t>Mitchell Sharp</t>
  </si>
  <si>
    <t>blackbrandi@gmail.com</t>
  </si>
  <si>
    <t>Jose Peters</t>
  </si>
  <si>
    <t>zrowe@morales.net</t>
  </si>
  <si>
    <t>Jeffrey Torres</t>
  </si>
  <si>
    <t>yvonnemiller@robinson.com</t>
  </si>
  <si>
    <t>Noah Lee</t>
  </si>
  <si>
    <t>olucas@cline-robinson.com</t>
  </si>
  <si>
    <t>Jeremy Graham</t>
  </si>
  <si>
    <t>dcontreras@hotmail.com</t>
  </si>
  <si>
    <t>Mary Harrison</t>
  </si>
  <si>
    <t>tylerbaldwin@yahoo.com</t>
  </si>
  <si>
    <t>Meghan Roy</t>
  </si>
  <si>
    <t>ystevens@yahoo.com</t>
  </si>
  <si>
    <t>Kevin Moore</t>
  </si>
  <si>
    <t>michaelarroyo@guerrero.com</t>
  </si>
  <si>
    <t>Pedro Roth</t>
  </si>
  <si>
    <t>knightkelly@miller-wong.org</t>
  </si>
  <si>
    <t>Holly Donaldson</t>
  </si>
  <si>
    <t>katherine18@hammond.info</t>
  </si>
  <si>
    <t>Patricia Boyer</t>
  </si>
  <si>
    <t>fcabrera@haynes-clark.com</t>
  </si>
  <si>
    <t>Alexander Mccarty</t>
  </si>
  <si>
    <t>sandra21@burnett-gutierrez.com</t>
  </si>
  <si>
    <t>Michael Baldwin DDS</t>
  </si>
  <si>
    <t>joshuagibbs@ross.biz</t>
  </si>
  <si>
    <t>Anna Harper</t>
  </si>
  <si>
    <t>marcpatel@gmail.com</t>
  </si>
  <si>
    <t>Steve Green</t>
  </si>
  <si>
    <t>gabrielbrown@hotmail.com</t>
  </si>
  <si>
    <t>Edwin Boyd</t>
  </si>
  <si>
    <t>aaron93@yahoo.com</t>
  </si>
  <si>
    <t>Emily Chambers</t>
  </si>
  <si>
    <t>bridgessavannah@yahoo.com</t>
  </si>
  <si>
    <t>Hunter Martinez</t>
  </si>
  <si>
    <t>sandy22@rollins.com</t>
  </si>
  <si>
    <t>Victor Moss</t>
  </si>
  <si>
    <t>morgan52@taylor.com</t>
  </si>
  <si>
    <t>Kelly Lucas</t>
  </si>
  <si>
    <t>schwartztina@yahoo.com</t>
  </si>
  <si>
    <t>Reginald Richardson</t>
  </si>
  <si>
    <t>bakerjeremy@young-jones.info</t>
  </si>
  <si>
    <t>Patrick Sanchez</t>
  </si>
  <si>
    <t>smithamanda@johnson.org</t>
  </si>
  <si>
    <t>Michelle Chen DDS</t>
  </si>
  <si>
    <t>rebeccapreston@young.info</t>
  </si>
  <si>
    <t>Richard Sherman</t>
  </si>
  <si>
    <t>alexandra82@yahoo.com</t>
  </si>
  <si>
    <t>Robert Williams</t>
  </si>
  <si>
    <t>salvarado@yahoo.com</t>
  </si>
  <si>
    <t>Samuel Alexander</t>
  </si>
  <si>
    <t>iherring@solis.com</t>
  </si>
  <si>
    <t>Anthony Graham</t>
  </si>
  <si>
    <t>anamartin@hotmail.com</t>
  </si>
  <si>
    <t>Dr. Lynn Hoffman</t>
  </si>
  <si>
    <t>jonathangarner@yahoo.com</t>
  </si>
  <si>
    <t>Miss April Howard</t>
  </si>
  <si>
    <t>brusso@hotmail.com</t>
  </si>
  <si>
    <t>Tyler Rodriguez</t>
  </si>
  <si>
    <t>cruzjohn@hotmail.com</t>
  </si>
  <si>
    <t>Kevin Bowman</t>
  </si>
  <si>
    <t>brownronald@clay.com</t>
  </si>
  <si>
    <t>Christopher Henry</t>
  </si>
  <si>
    <t>steelejohn@nguyen.com</t>
  </si>
  <si>
    <t>Joshua Richardson</t>
  </si>
  <si>
    <t>stephenanderson@gmail.com</t>
  </si>
  <si>
    <t>Amy Washington</t>
  </si>
  <si>
    <t>stephen13@miller.com</t>
  </si>
  <si>
    <t>Amanda Cook</t>
  </si>
  <si>
    <t>hannahdillon@giles.com</t>
  </si>
  <si>
    <t>Scott Montes</t>
  </si>
  <si>
    <t>vanessameyers@hotmail.com</t>
  </si>
  <si>
    <t>Sean Thomas</t>
  </si>
  <si>
    <t>april31@gmail.com</t>
  </si>
  <si>
    <t>Amanda Roberts</t>
  </si>
  <si>
    <t>michael36@yahoo.com</t>
  </si>
  <si>
    <t>Joanna Rose</t>
  </si>
  <si>
    <t>timothyfuentes@gmail.com</t>
  </si>
  <si>
    <t>Willie Russell</t>
  </si>
  <si>
    <t>susan10@yahoo.com</t>
  </si>
  <si>
    <t>Peter Day</t>
  </si>
  <si>
    <t>smaynard@cole.com</t>
  </si>
  <si>
    <t>Matthew Sherman</t>
  </si>
  <si>
    <t>woodmonica@gmail.com</t>
  </si>
  <si>
    <t>Stephanie Moore DDS</t>
  </si>
  <si>
    <t>cynthia58@yahoo.com</t>
  </si>
  <si>
    <t>Brandon Fletcher</t>
  </si>
  <si>
    <t>juliepeterson@pearson-shepherd.net</t>
  </si>
  <si>
    <t>Ryan Thomas</t>
  </si>
  <si>
    <t>whitakerjoseph@yahoo.com</t>
  </si>
  <si>
    <t>Mrs. Amber Luna DVM</t>
  </si>
  <si>
    <t>zgray@salazar.net</t>
  </si>
  <si>
    <t>Crystal Fry</t>
  </si>
  <si>
    <t>xstewart@huff.org</t>
  </si>
  <si>
    <t>William Le</t>
  </si>
  <si>
    <t>morr@gmail.com</t>
  </si>
  <si>
    <t>Antonio Carter</t>
  </si>
  <si>
    <t>jameslisa@morrison.com</t>
  </si>
  <si>
    <t>Beth Abbott</t>
  </si>
  <si>
    <t>jhill@bell.com</t>
  </si>
  <si>
    <t>Christine Howard</t>
  </si>
  <si>
    <t>brianna99@hotmail.com</t>
  </si>
  <si>
    <t>Chelsea Arellano</t>
  </si>
  <si>
    <t>gregory11@russell-morris.com</t>
  </si>
  <si>
    <t>Stacy Rodriguez</t>
  </si>
  <si>
    <t>tranjulia@romero.biz</t>
  </si>
  <si>
    <t>Shannon Green</t>
  </si>
  <si>
    <t>ogordon@guerrero-holt.com</t>
  </si>
  <si>
    <t>Donna Reed</t>
  </si>
  <si>
    <t>dennisconner@sellers.com</t>
  </si>
  <si>
    <t>Michelle Wang</t>
  </si>
  <si>
    <t>mikecollins@gmail.com</t>
  </si>
  <si>
    <t>Thomas Barker</t>
  </si>
  <si>
    <t>mmelendez@lewis.com</t>
  </si>
  <si>
    <t>Kimberly Cline</t>
  </si>
  <si>
    <t>davismatthew@gmail.com</t>
  </si>
  <si>
    <t>Clinton Weber</t>
  </si>
  <si>
    <t>bhiggins@jenkins-stevenson.com</t>
  </si>
  <si>
    <t>Lindsay Murphy</t>
  </si>
  <si>
    <t>tammyjones@clayton.info</t>
  </si>
  <si>
    <t>Mallory May</t>
  </si>
  <si>
    <t>morrisonlucas@gmail.com</t>
  </si>
  <si>
    <t>Larry Torres</t>
  </si>
  <si>
    <t>rachel70@hotmail.com</t>
  </si>
  <si>
    <t>Tina Mccormick</t>
  </si>
  <si>
    <t>zthompson@lee.com</t>
  </si>
  <si>
    <t>Brian Sampson</t>
  </si>
  <si>
    <t>jamesgeorge@yahoo.com</t>
  </si>
  <si>
    <t>Christine Park</t>
  </si>
  <si>
    <t>goodwinerica@brown.com</t>
  </si>
  <si>
    <t>Vicki Lewis</t>
  </si>
  <si>
    <t>bperry@hotmail.com</t>
  </si>
  <si>
    <t>Matthew Black</t>
  </si>
  <si>
    <t>lewisbetty@hotmail.com</t>
  </si>
  <si>
    <t>Felicia Lee</t>
  </si>
  <si>
    <t>torresjacqueline@chambers-woodard.net</t>
  </si>
  <si>
    <t>James Black</t>
  </si>
  <si>
    <t>sgarza@nunez.net</t>
  </si>
  <si>
    <t>James Mitchell</t>
  </si>
  <si>
    <t>gracejohnson@yahoo.com</t>
  </si>
  <si>
    <t>Alexander Mcconnell</t>
  </si>
  <si>
    <t>corysmith@anderson-anderson.com</t>
  </si>
  <si>
    <t>Danielle Clark</t>
  </si>
  <si>
    <t>crystal02@schmidt.com</t>
  </si>
  <si>
    <t>Robert Foster</t>
  </si>
  <si>
    <t>teresamoreno@rubio-sanchez.com</t>
  </si>
  <si>
    <t>Gary Clark</t>
  </si>
  <si>
    <t>alyssawagner@gmail.com</t>
  </si>
  <si>
    <t>Cynthia Martin</t>
  </si>
  <si>
    <t>caitlynmoody@adams.com</t>
  </si>
  <si>
    <t>Brianna Cunningham</t>
  </si>
  <si>
    <t>alexanderfernando@gmail.com</t>
  </si>
  <si>
    <t>Dr. Jesus Johnson</t>
  </si>
  <si>
    <t>xharris@hotmail.com</t>
  </si>
  <si>
    <t>Jessica Jarvis</t>
  </si>
  <si>
    <t>nhurst@hester.info</t>
  </si>
  <si>
    <t>Theresa Hensley</t>
  </si>
  <si>
    <t>evance@moore.org</t>
  </si>
  <si>
    <t>James Mckee</t>
  </si>
  <si>
    <t>andersonmichelle@yahoo.com</t>
  </si>
  <si>
    <t>Jonathan Blanchard</t>
  </si>
  <si>
    <t>jonathanfoster@sanchez.com</t>
  </si>
  <si>
    <t>Melissa Estrada</t>
  </si>
  <si>
    <t>bowmanmatthew@martin-duran.org</t>
  </si>
  <si>
    <t>John Gallagher</t>
  </si>
  <si>
    <t>elliottsheryl@wilcox.net</t>
  </si>
  <si>
    <t>Catherine Velasquez</t>
  </si>
  <si>
    <t>fsutton@gmail.com</t>
  </si>
  <si>
    <t>Joyce Thomas</t>
  </si>
  <si>
    <t>zanderson@barrera.net</t>
  </si>
  <si>
    <t>Theresa Hughes</t>
  </si>
  <si>
    <t>mstanley@yahoo.com</t>
  </si>
  <si>
    <t>Steven Golden</t>
  </si>
  <si>
    <t>nvasquez@yahoo.com</t>
  </si>
  <si>
    <t>Miss April Smith</t>
  </si>
  <si>
    <t>logansanchez@manning.com</t>
  </si>
  <si>
    <t>Row Labels</t>
  </si>
  <si>
    <t>Grand Total</t>
  </si>
  <si>
    <t>Total Students</t>
  </si>
  <si>
    <t>Count of StudentID</t>
  </si>
  <si>
    <t>Average of Attendance</t>
  </si>
  <si>
    <t>Average of GPA</t>
  </si>
  <si>
    <t>Count of Gender</t>
  </si>
  <si>
    <t>Column Labels</t>
  </si>
  <si>
    <t>Count of Mode of Study</t>
  </si>
  <si>
    <t>ID</t>
  </si>
  <si>
    <t>Full Name</t>
  </si>
  <si>
    <t>Sum of GPA</t>
  </si>
  <si>
    <t>Student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</si>
</sst>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1"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i/>
      <sz val="10"/>
      <color rgb="FF36394D"/>
      <name val="Source Sans Pro"/>
      <family val="2"/>
    </font>
    <font>
      <sz val="11"/>
      <color theme="1"/>
      <name val="Amasis MT Pro Medium"/>
      <family val="1"/>
    </font>
    <font>
      <sz val="20"/>
      <color theme="1"/>
      <name val="Tw Cen MT"/>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0"/>
        <bgColor indexed="64"/>
      </patternFill>
    </fill>
    <fill>
      <patternFill patternType="solid">
        <fgColor theme="9"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33" borderId="0" xfId="0" applyFill="1"/>
    <xf numFmtId="0" fontId="18" fillId="0" borderId="0" xfId="0" applyFont="1"/>
    <xf numFmtId="0" fontId="19" fillId="35" borderId="0" xfId="0" applyFont="1" applyFill="1"/>
    <xf numFmtId="0" fontId="0" fillId="35" borderId="0" xfId="0" applyFill="1"/>
    <xf numFmtId="0" fontId="20" fillId="34" borderId="10" xfId="0" applyFont="1" applyFill="1" applyBorder="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ill>
        <patternFill>
          <bgColor rgb="FF92D050"/>
        </patternFill>
      </fill>
    </dxf>
    <dxf>
      <fill>
        <patternFill>
          <bgColor rgb="FF92D050"/>
        </patternFill>
      </fill>
    </dxf>
    <dxf>
      <fill>
        <patternFill>
          <bgColor rgb="FF92D050"/>
        </patternFill>
      </fill>
    </dxf>
    <dxf>
      <fill>
        <patternFill>
          <bgColor rgb="FF92D050"/>
        </patternFill>
      </fill>
    </dxf>
    <dxf>
      <font>
        <b/>
        <color theme="1"/>
      </font>
      <border>
        <bottom style="thin">
          <color theme="9"/>
        </bottom>
        <vertical/>
        <horizontal/>
      </border>
    </dxf>
    <dxf>
      <font>
        <sz val="24"/>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sz val="24"/>
        <color theme="1"/>
      </font>
      <border>
        <left style="thin">
          <color theme="9"/>
        </left>
        <right style="thin">
          <color theme="9"/>
        </right>
        <top style="thin">
          <color theme="9"/>
        </top>
        <bottom style="thin">
          <color theme="9"/>
        </bottom>
        <vertical/>
        <horizontal/>
      </border>
    </dxf>
    <dxf>
      <font>
        <sz val="16"/>
      </font>
      <fill>
        <patternFill>
          <bgColor theme="9"/>
        </patternFill>
      </fill>
    </dxf>
  </dxfs>
  <tableStyles count="3" defaultTableStyle="TableStyleMedium2" defaultPivotStyle="PivotStyleLight16">
    <tableStyle name="Slicer Style 1" pivot="0" table="0" count="1" xr9:uid="{FF620BFE-A7D8-4F21-BB21-9CAA78B570C1}">
      <tableStyleElement type="wholeTable" dxfId="8"/>
    </tableStyle>
    <tableStyle name="SlicerStyleDark6 2" pivot="0" table="0" count="10" xr9:uid="{998F4EC8-A256-4335-BF4D-ECEE2F572D38}">
      <tableStyleElement type="wholeTable" dxfId="7"/>
      <tableStyleElement type="headerRow" dxfId="6"/>
    </tableStyle>
    <tableStyle name="SlicerStyleDark6 3" pivot="0" table="0" count="10" xr9:uid="{E138CFAD-1FE7-4B5E-B43B-DA9A259FF312}">
      <tableStyleElement type="wholeTable" dxfId="5"/>
      <tableStyleElement type="headerRow" dxfId="4"/>
    </tableStyle>
  </tableStyles>
  <colors>
    <mruColors>
      <color rgb="FFFFCC00"/>
      <color rgb="FFD0E8FC"/>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[Student_Performance_Analysis_Sura_Sammour.xlsx]Pivot_Table!PivotTable10</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Pivot_Table!$B$28</c:f>
              <c:strCache>
                <c:ptCount val="1"/>
                <c:pt idx="0">
                  <c:v>Total</c:v>
                </c:pt>
              </c:strCache>
            </c:strRef>
          </c:tx>
          <c:spPr>
            <a:solidFill>
              <a:schemeClr val="accent1"/>
            </a:solidFill>
            <a:ln>
              <a:noFill/>
            </a:ln>
            <a:effectLst/>
          </c:spPr>
          <c:invertIfNegative val="0"/>
          <c:cat>
            <c:strRef>
              <c:f>Pivot_Table!$A$29:$A$34</c:f>
              <c:strCache>
                <c:ptCount val="5"/>
                <c:pt idx="0">
                  <c:v>Biology</c:v>
                </c:pt>
                <c:pt idx="1">
                  <c:v>Chemistry</c:v>
                </c:pt>
                <c:pt idx="2">
                  <c:v>Computer Science</c:v>
                </c:pt>
                <c:pt idx="3">
                  <c:v>Mathematics</c:v>
                </c:pt>
                <c:pt idx="4">
                  <c:v>Physics</c:v>
                </c:pt>
              </c:strCache>
            </c:strRef>
          </c:cat>
          <c:val>
            <c:numRef>
              <c:f>Pivot_Table!$B$29:$B$34</c:f>
              <c:numCache>
                <c:formatCode>0.00</c:formatCode>
                <c:ptCount val="5"/>
                <c:pt idx="0">
                  <c:v>79.081481481481475</c:v>
                </c:pt>
                <c:pt idx="1">
                  <c:v>82.878043478260878</c:v>
                </c:pt>
                <c:pt idx="2">
                  <c:v>79.740652173913091</c:v>
                </c:pt>
                <c:pt idx="3">
                  <c:v>79.451999999999998</c:v>
                </c:pt>
                <c:pt idx="4">
                  <c:v>78.365882352941142</c:v>
                </c:pt>
              </c:numCache>
            </c:numRef>
          </c:val>
          <c:extLst>
            <c:ext xmlns:c16="http://schemas.microsoft.com/office/drawing/2014/chart" uri="{C3380CC4-5D6E-409C-BE32-E72D297353CC}">
              <c16:uniqueId val="{00000000-BCC8-4714-8D3D-916274A5C3F5}"/>
            </c:ext>
          </c:extLst>
        </c:ser>
        <c:dLbls>
          <c:showLegendKey val="0"/>
          <c:showVal val="0"/>
          <c:showCatName val="0"/>
          <c:showSerName val="0"/>
          <c:showPercent val="0"/>
          <c:showBubbleSize val="0"/>
        </c:dLbls>
        <c:gapWidth val="150"/>
        <c:overlap val="100"/>
        <c:axId val="1694108703"/>
        <c:axId val="1709162335"/>
      </c:barChart>
      <c:catAx>
        <c:axId val="169410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62335"/>
        <c:crosses val="autoZero"/>
        <c:auto val="1"/>
        <c:lblAlgn val="ctr"/>
        <c:lblOffset val="100"/>
        <c:noMultiLvlLbl val="0"/>
      </c:catAx>
      <c:valAx>
        <c:axId val="1709162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10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[Student_Performance_Analysis_Sura_Sammour.xlsx]Pivot_Table!PivotTable11</c:name>
    <c:fmtId val="3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Pivot_Table!$B$37:$B$38</c:f>
              <c:strCache>
                <c:ptCount val="1"/>
                <c:pt idx="0">
                  <c:v>Female</c:v>
                </c:pt>
              </c:strCache>
            </c:strRef>
          </c:tx>
          <c:spPr>
            <a:solidFill>
              <a:schemeClr val="accent1"/>
            </a:solidFill>
            <a:ln>
              <a:noFill/>
            </a:ln>
            <a:effectLst/>
          </c:spPr>
          <c:invertIfNegative val="0"/>
          <c:cat>
            <c:strRef>
              <c:f>Pivot_Table!$A$39:$A$44</c:f>
              <c:strCache>
                <c:ptCount val="5"/>
                <c:pt idx="0">
                  <c:v>Biology</c:v>
                </c:pt>
                <c:pt idx="1">
                  <c:v>Chemistry</c:v>
                </c:pt>
                <c:pt idx="2">
                  <c:v>Computer Science</c:v>
                </c:pt>
                <c:pt idx="3">
                  <c:v>Mathematics</c:v>
                </c:pt>
                <c:pt idx="4">
                  <c:v>Physics</c:v>
                </c:pt>
              </c:strCache>
            </c:strRef>
          </c:cat>
          <c:val>
            <c:numRef>
              <c:f>Pivot_Table!$B$39:$B$44</c:f>
              <c:numCache>
                <c:formatCode>General</c:formatCode>
                <c:ptCount val="5"/>
                <c:pt idx="0">
                  <c:v>11</c:v>
                </c:pt>
                <c:pt idx="1">
                  <c:v>17</c:v>
                </c:pt>
                <c:pt idx="2">
                  <c:v>18</c:v>
                </c:pt>
                <c:pt idx="3">
                  <c:v>11</c:v>
                </c:pt>
                <c:pt idx="4">
                  <c:v>25</c:v>
                </c:pt>
              </c:numCache>
            </c:numRef>
          </c:val>
          <c:extLst>
            <c:ext xmlns:c16="http://schemas.microsoft.com/office/drawing/2014/chart" uri="{C3380CC4-5D6E-409C-BE32-E72D297353CC}">
              <c16:uniqueId val="{00000000-B7D4-49C3-9793-BACDB421E6C8}"/>
            </c:ext>
          </c:extLst>
        </c:ser>
        <c:ser>
          <c:idx val="1"/>
          <c:order val="1"/>
          <c:tx>
            <c:strRef>
              <c:f>Pivot_Table!$C$37:$C$38</c:f>
              <c:strCache>
                <c:ptCount val="1"/>
                <c:pt idx="0">
                  <c:v>Male</c:v>
                </c:pt>
              </c:strCache>
            </c:strRef>
          </c:tx>
          <c:spPr>
            <a:solidFill>
              <a:schemeClr val="accent2"/>
            </a:solidFill>
            <a:ln>
              <a:noFill/>
            </a:ln>
            <a:effectLst/>
          </c:spPr>
          <c:invertIfNegative val="0"/>
          <c:cat>
            <c:strRef>
              <c:f>Pivot_Table!$A$39:$A$44</c:f>
              <c:strCache>
                <c:ptCount val="5"/>
                <c:pt idx="0">
                  <c:v>Biology</c:v>
                </c:pt>
                <c:pt idx="1">
                  <c:v>Chemistry</c:v>
                </c:pt>
                <c:pt idx="2">
                  <c:v>Computer Science</c:v>
                </c:pt>
                <c:pt idx="3">
                  <c:v>Mathematics</c:v>
                </c:pt>
                <c:pt idx="4">
                  <c:v>Physics</c:v>
                </c:pt>
              </c:strCache>
            </c:strRef>
          </c:cat>
          <c:val>
            <c:numRef>
              <c:f>Pivot_Table!$C$39:$C$44</c:f>
              <c:numCache>
                <c:formatCode>General</c:formatCode>
                <c:ptCount val="5"/>
                <c:pt idx="0">
                  <c:v>16</c:v>
                </c:pt>
                <c:pt idx="1">
                  <c:v>29</c:v>
                </c:pt>
                <c:pt idx="2">
                  <c:v>28</c:v>
                </c:pt>
                <c:pt idx="3">
                  <c:v>19</c:v>
                </c:pt>
                <c:pt idx="4">
                  <c:v>26</c:v>
                </c:pt>
              </c:numCache>
            </c:numRef>
          </c:val>
          <c:extLst>
            <c:ext xmlns:c16="http://schemas.microsoft.com/office/drawing/2014/chart" uri="{C3380CC4-5D6E-409C-BE32-E72D297353CC}">
              <c16:uniqueId val="{00000001-B7D4-49C3-9793-BACDB421E6C8}"/>
            </c:ext>
          </c:extLst>
        </c:ser>
        <c:dLbls>
          <c:showLegendKey val="0"/>
          <c:showVal val="0"/>
          <c:showCatName val="0"/>
          <c:showSerName val="0"/>
          <c:showPercent val="0"/>
          <c:showBubbleSize val="0"/>
        </c:dLbls>
        <c:gapWidth val="150"/>
        <c:overlap val="100"/>
        <c:axId val="1768394031"/>
        <c:axId val="1768394511"/>
      </c:barChart>
      <c:catAx>
        <c:axId val="176839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394511"/>
        <c:crosses val="autoZero"/>
        <c:auto val="1"/>
        <c:lblAlgn val="ctr"/>
        <c:lblOffset val="100"/>
        <c:noMultiLvlLbl val="0"/>
      </c:catAx>
      <c:valAx>
        <c:axId val="176839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39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[Student_Performance_Analysis_Sura_Sammour.xlsx]Pivot_Table!PivotTable4</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pivotFmt>
      <c:pivotFmt>
        <c:idx val="2"/>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Pivot_Table!$B$14</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F94E-436C-85A8-410CD7765E47}"/>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F94E-436C-85A8-410CD7765E47}"/>
              </c:ext>
            </c:extLst>
          </c:dPt>
          <c:cat>
            <c:strRef>
              <c:f>Pivot_Table!$A$15:$A$17</c:f>
              <c:strCache>
                <c:ptCount val="2"/>
                <c:pt idx="0">
                  <c:v>Female</c:v>
                </c:pt>
                <c:pt idx="1">
                  <c:v>Male</c:v>
                </c:pt>
              </c:strCache>
            </c:strRef>
          </c:cat>
          <c:val>
            <c:numRef>
              <c:f>Pivot_Table!$B$15:$B$17</c:f>
              <c:numCache>
                <c:formatCode>General</c:formatCode>
                <c:ptCount val="2"/>
                <c:pt idx="0">
                  <c:v>82</c:v>
                </c:pt>
                <c:pt idx="1">
                  <c:v>118</c:v>
                </c:pt>
              </c:numCache>
            </c:numRef>
          </c:val>
          <c:extLst>
            <c:ext xmlns:c16="http://schemas.microsoft.com/office/drawing/2014/chart" uri="{C3380CC4-5D6E-409C-BE32-E72D297353CC}">
              <c16:uniqueId val="{00000000-B429-45F4-AE4E-ACA2AAFEC51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[Student_Performance_Analysis_Sura_Sammour.xlsx]Pivot_Table!PivotTable12</c:name>
    <c:fmtId val="10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Pivot_Table!$B$47:$B$48</c:f>
              <c:strCache>
                <c:ptCount val="1"/>
                <c:pt idx="0">
                  <c:v>18</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Pivot_Table!$A$49:$A$56</c:f>
              <c:strCache>
                <c:ptCount val="7"/>
                <c:pt idx="0">
                  <c:v>2024</c:v>
                </c:pt>
                <c:pt idx="1">
                  <c:v>2025</c:v>
                </c:pt>
                <c:pt idx="2">
                  <c:v>2026</c:v>
                </c:pt>
                <c:pt idx="3">
                  <c:v>2027</c:v>
                </c:pt>
                <c:pt idx="4">
                  <c:v>2028</c:v>
                </c:pt>
                <c:pt idx="5">
                  <c:v>2029</c:v>
                </c:pt>
                <c:pt idx="6">
                  <c:v>2030</c:v>
                </c:pt>
              </c:strCache>
            </c:strRef>
          </c:cat>
          <c:val>
            <c:numRef>
              <c:f>Pivot_Table!$B$49:$B$56</c:f>
              <c:numCache>
                <c:formatCode>General</c:formatCode>
                <c:ptCount val="7"/>
                <c:pt idx="0">
                  <c:v>1</c:v>
                </c:pt>
                <c:pt idx="1">
                  <c:v>5</c:v>
                </c:pt>
                <c:pt idx="2">
                  <c:v>3</c:v>
                </c:pt>
                <c:pt idx="3">
                  <c:v>1</c:v>
                </c:pt>
                <c:pt idx="4">
                  <c:v>6</c:v>
                </c:pt>
                <c:pt idx="5">
                  <c:v>1</c:v>
                </c:pt>
                <c:pt idx="6">
                  <c:v>4</c:v>
                </c:pt>
              </c:numCache>
            </c:numRef>
          </c:val>
          <c:smooth val="0"/>
          <c:extLst>
            <c:ext xmlns:c16="http://schemas.microsoft.com/office/drawing/2014/chart" uri="{C3380CC4-5D6E-409C-BE32-E72D297353CC}">
              <c16:uniqueId val="{00000000-ABBA-4D6C-BB25-4C12CB71A665}"/>
            </c:ext>
          </c:extLst>
        </c:ser>
        <c:ser>
          <c:idx val="1"/>
          <c:order val="1"/>
          <c:tx>
            <c:strRef>
              <c:f>Pivot_Table!$C$47:$C$48</c:f>
              <c:strCache>
                <c:ptCount val="1"/>
                <c:pt idx="0">
                  <c:v>19</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Pivot_Table!$A$49:$A$56</c:f>
              <c:strCache>
                <c:ptCount val="7"/>
                <c:pt idx="0">
                  <c:v>2024</c:v>
                </c:pt>
                <c:pt idx="1">
                  <c:v>2025</c:v>
                </c:pt>
                <c:pt idx="2">
                  <c:v>2026</c:v>
                </c:pt>
                <c:pt idx="3">
                  <c:v>2027</c:v>
                </c:pt>
                <c:pt idx="4">
                  <c:v>2028</c:v>
                </c:pt>
                <c:pt idx="5">
                  <c:v>2029</c:v>
                </c:pt>
                <c:pt idx="6">
                  <c:v>2030</c:v>
                </c:pt>
              </c:strCache>
            </c:strRef>
          </c:cat>
          <c:val>
            <c:numRef>
              <c:f>Pivot_Table!$C$49:$C$56</c:f>
              <c:numCache>
                <c:formatCode>General</c:formatCode>
                <c:ptCount val="7"/>
                <c:pt idx="0">
                  <c:v>2</c:v>
                </c:pt>
                <c:pt idx="1">
                  <c:v>3</c:v>
                </c:pt>
                <c:pt idx="2">
                  <c:v>2</c:v>
                </c:pt>
                <c:pt idx="3">
                  <c:v>6</c:v>
                </c:pt>
                <c:pt idx="4">
                  <c:v>3</c:v>
                </c:pt>
                <c:pt idx="5">
                  <c:v>5</c:v>
                </c:pt>
                <c:pt idx="6">
                  <c:v>6</c:v>
                </c:pt>
              </c:numCache>
            </c:numRef>
          </c:val>
          <c:smooth val="0"/>
          <c:extLst>
            <c:ext xmlns:c16="http://schemas.microsoft.com/office/drawing/2014/chart" uri="{C3380CC4-5D6E-409C-BE32-E72D297353CC}">
              <c16:uniqueId val="{00000001-ABBA-4D6C-BB25-4C12CB71A665}"/>
            </c:ext>
          </c:extLst>
        </c:ser>
        <c:ser>
          <c:idx val="2"/>
          <c:order val="2"/>
          <c:tx>
            <c:strRef>
              <c:f>Pivot_Table!$D$47:$D$48</c:f>
              <c:strCache>
                <c:ptCount val="1"/>
                <c:pt idx="0">
                  <c:v>20</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Pivot_Table!$A$49:$A$56</c:f>
              <c:strCache>
                <c:ptCount val="7"/>
                <c:pt idx="0">
                  <c:v>2024</c:v>
                </c:pt>
                <c:pt idx="1">
                  <c:v>2025</c:v>
                </c:pt>
                <c:pt idx="2">
                  <c:v>2026</c:v>
                </c:pt>
                <c:pt idx="3">
                  <c:v>2027</c:v>
                </c:pt>
                <c:pt idx="4">
                  <c:v>2028</c:v>
                </c:pt>
                <c:pt idx="5">
                  <c:v>2029</c:v>
                </c:pt>
                <c:pt idx="6">
                  <c:v>2030</c:v>
                </c:pt>
              </c:strCache>
            </c:strRef>
          </c:cat>
          <c:val>
            <c:numRef>
              <c:f>Pivot_Table!$D$49:$D$56</c:f>
              <c:numCache>
                <c:formatCode>General</c:formatCode>
                <c:ptCount val="7"/>
                <c:pt idx="1">
                  <c:v>4</c:v>
                </c:pt>
                <c:pt idx="2">
                  <c:v>2</c:v>
                </c:pt>
                <c:pt idx="3">
                  <c:v>6</c:v>
                </c:pt>
                <c:pt idx="4">
                  <c:v>1</c:v>
                </c:pt>
                <c:pt idx="5">
                  <c:v>6</c:v>
                </c:pt>
                <c:pt idx="6">
                  <c:v>5</c:v>
                </c:pt>
              </c:numCache>
            </c:numRef>
          </c:val>
          <c:smooth val="0"/>
          <c:extLst>
            <c:ext xmlns:c16="http://schemas.microsoft.com/office/drawing/2014/chart" uri="{C3380CC4-5D6E-409C-BE32-E72D297353CC}">
              <c16:uniqueId val="{00000002-ABBA-4D6C-BB25-4C12CB71A665}"/>
            </c:ext>
          </c:extLst>
        </c:ser>
        <c:ser>
          <c:idx val="3"/>
          <c:order val="3"/>
          <c:tx>
            <c:strRef>
              <c:f>Pivot_Table!$E$47:$E$48</c:f>
              <c:strCache>
                <c:ptCount val="1"/>
                <c:pt idx="0">
                  <c:v>21</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Pivot_Table!$A$49:$A$56</c:f>
              <c:strCache>
                <c:ptCount val="7"/>
                <c:pt idx="0">
                  <c:v>2024</c:v>
                </c:pt>
                <c:pt idx="1">
                  <c:v>2025</c:v>
                </c:pt>
                <c:pt idx="2">
                  <c:v>2026</c:v>
                </c:pt>
                <c:pt idx="3">
                  <c:v>2027</c:v>
                </c:pt>
                <c:pt idx="4">
                  <c:v>2028</c:v>
                </c:pt>
                <c:pt idx="5">
                  <c:v>2029</c:v>
                </c:pt>
                <c:pt idx="6">
                  <c:v>2030</c:v>
                </c:pt>
              </c:strCache>
            </c:strRef>
          </c:cat>
          <c:val>
            <c:numRef>
              <c:f>Pivot_Table!$E$49:$E$56</c:f>
              <c:numCache>
                <c:formatCode>General</c:formatCode>
                <c:ptCount val="7"/>
                <c:pt idx="0">
                  <c:v>6</c:v>
                </c:pt>
                <c:pt idx="1">
                  <c:v>1</c:v>
                </c:pt>
                <c:pt idx="2">
                  <c:v>3</c:v>
                </c:pt>
                <c:pt idx="3">
                  <c:v>3</c:v>
                </c:pt>
                <c:pt idx="4">
                  <c:v>1</c:v>
                </c:pt>
                <c:pt idx="5">
                  <c:v>4</c:v>
                </c:pt>
                <c:pt idx="6">
                  <c:v>6</c:v>
                </c:pt>
              </c:numCache>
            </c:numRef>
          </c:val>
          <c:smooth val="0"/>
          <c:extLst>
            <c:ext xmlns:c16="http://schemas.microsoft.com/office/drawing/2014/chart" uri="{C3380CC4-5D6E-409C-BE32-E72D297353CC}">
              <c16:uniqueId val="{00000003-ABBA-4D6C-BB25-4C12CB71A665}"/>
            </c:ext>
          </c:extLst>
        </c:ser>
        <c:ser>
          <c:idx val="4"/>
          <c:order val="4"/>
          <c:tx>
            <c:strRef>
              <c:f>Pivot_Table!$F$47:$F$48</c:f>
              <c:strCache>
                <c:ptCount val="1"/>
                <c:pt idx="0">
                  <c:v>22</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Pivot_Table!$A$49:$A$56</c:f>
              <c:strCache>
                <c:ptCount val="7"/>
                <c:pt idx="0">
                  <c:v>2024</c:v>
                </c:pt>
                <c:pt idx="1">
                  <c:v>2025</c:v>
                </c:pt>
                <c:pt idx="2">
                  <c:v>2026</c:v>
                </c:pt>
                <c:pt idx="3">
                  <c:v>2027</c:v>
                </c:pt>
                <c:pt idx="4">
                  <c:v>2028</c:v>
                </c:pt>
                <c:pt idx="5">
                  <c:v>2029</c:v>
                </c:pt>
                <c:pt idx="6">
                  <c:v>2030</c:v>
                </c:pt>
              </c:strCache>
            </c:strRef>
          </c:cat>
          <c:val>
            <c:numRef>
              <c:f>Pivot_Table!$F$49:$F$56</c:f>
              <c:numCache>
                <c:formatCode>General</c:formatCode>
                <c:ptCount val="7"/>
                <c:pt idx="0">
                  <c:v>5</c:v>
                </c:pt>
                <c:pt idx="1">
                  <c:v>4</c:v>
                </c:pt>
                <c:pt idx="2">
                  <c:v>4</c:v>
                </c:pt>
                <c:pt idx="3">
                  <c:v>6</c:v>
                </c:pt>
                <c:pt idx="4">
                  <c:v>3</c:v>
                </c:pt>
                <c:pt idx="5">
                  <c:v>2</c:v>
                </c:pt>
                <c:pt idx="6">
                  <c:v>4</c:v>
                </c:pt>
              </c:numCache>
            </c:numRef>
          </c:val>
          <c:smooth val="0"/>
          <c:extLst>
            <c:ext xmlns:c16="http://schemas.microsoft.com/office/drawing/2014/chart" uri="{C3380CC4-5D6E-409C-BE32-E72D297353CC}">
              <c16:uniqueId val="{00000004-ABBA-4D6C-BB25-4C12CB71A665}"/>
            </c:ext>
          </c:extLst>
        </c:ser>
        <c:ser>
          <c:idx val="5"/>
          <c:order val="5"/>
          <c:tx>
            <c:strRef>
              <c:f>Pivot_Table!$G$47:$G$48</c:f>
              <c:strCache>
                <c:ptCount val="1"/>
                <c:pt idx="0">
                  <c:v>23</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Pivot_Table!$A$49:$A$56</c:f>
              <c:strCache>
                <c:ptCount val="7"/>
                <c:pt idx="0">
                  <c:v>2024</c:v>
                </c:pt>
                <c:pt idx="1">
                  <c:v>2025</c:v>
                </c:pt>
                <c:pt idx="2">
                  <c:v>2026</c:v>
                </c:pt>
                <c:pt idx="3">
                  <c:v>2027</c:v>
                </c:pt>
                <c:pt idx="4">
                  <c:v>2028</c:v>
                </c:pt>
                <c:pt idx="5">
                  <c:v>2029</c:v>
                </c:pt>
                <c:pt idx="6">
                  <c:v>2030</c:v>
                </c:pt>
              </c:strCache>
            </c:strRef>
          </c:cat>
          <c:val>
            <c:numRef>
              <c:f>Pivot_Table!$G$49:$G$56</c:f>
              <c:numCache>
                <c:formatCode>General</c:formatCode>
                <c:ptCount val="7"/>
                <c:pt idx="0">
                  <c:v>2</c:v>
                </c:pt>
                <c:pt idx="1">
                  <c:v>6</c:v>
                </c:pt>
                <c:pt idx="2">
                  <c:v>3</c:v>
                </c:pt>
                <c:pt idx="3">
                  <c:v>3</c:v>
                </c:pt>
                <c:pt idx="4">
                  <c:v>7</c:v>
                </c:pt>
                <c:pt idx="5">
                  <c:v>2</c:v>
                </c:pt>
                <c:pt idx="6">
                  <c:v>2</c:v>
                </c:pt>
              </c:numCache>
            </c:numRef>
          </c:val>
          <c:smooth val="0"/>
          <c:extLst>
            <c:ext xmlns:c16="http://schemas.microsoft.com/office/drawing/2014/chart" uri="{C3380CC4-5D6E-409C-BE32-E72D297353CC}">
              <c16:uniqueId val="{00000005-ABBA-4D6C-BB25-4C12CB71A665}"/>
            </c:ext>
          </c:extLst>
        </c:ser>
        <c:ser>
          <c:idx val="6"/>
          <c:order val="6"/>
          <c:tx>
            <c:strRef>
              <c:f>Pivot_Table!$H$47:$H$48</c:f>
              <c:strCache>
                <c:ptCount val="1"/>
                <c:pt idx="0">
                  <c:v>24</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Pivot_Table!$A$49:$A$56</c:f>
              <c:strCache>
                <c:ptCount val="7"/>
                <c:pt idx="0">
                  <c:v>2024</c:v>
                </c:pt>
                <c:pt idx="1">
                  <c:v>2025</c:v>
                </c:pt>
                <c:pt idx="2">
                  <c:v>2026</c:v>
                </c:pt>
                <c:pt idx="3">
                  <c:v>2027</c:v>
                </c:pt>
                <c:pt idx="4">
                  <c:v>2028</c:v>
                </c:pt>
                <c:pt idx="5">
                  <c:v>2029</c:v>
                </c:pt>
                <c:pt idx="6">
                  <c:v>2030</c:v>
                </c:pt>
              </c:strCache>
            </c:strRef>
          </c:cat>
          <c:val>
            <c:numRef>
              <c:f>Pivot_Table!$H$49:$H$56</c:f>
              <c:numCache>
                <c:formatCode>General</c:formatCode>
                <c:ptCount val="7"/>
                <c:pt idx="0">
                  <c:v>4</c:v>
                </c:pt>
                <c:pt idx="1">
                  <c:v>4</c:v>
                </c:pt>
                <c:pt idx="2">
                  <c:v>3</c:v>
                </c:pt>
                <c:pt idx="3">
                  <c:v>5</c:v>
                </c:pt>
                <c:pt idx="4">
                  <c:v>1</c:v>
                </c:pt>
                <c:pt idx="5">
                  <c:v>5</c:v>
                </c:pt>
                <c:pt idx="6">
                  <c:v>3</c:v>
                </c:pt>
              </c:numCache>
            </c:numRef>
          </c:val>
          <c:smooth val="0"/>
          <c:extLst>
            <c:ext xmlns:c16="http://schemas.microsoft.com/office/drawing/2014/chart" uri="{C3380CC4-5D6E-409C-BE32-E72D297353CC}">
              <c16:uniqueId val="{00000006-ABBA-4D6C-BB25-4C12CB71A665}"/>
            </c:ext>
          </c:extLst>
        </c:ser>
        <c:ser>
          <c:idx val="7"/>
          <c:order val="7"/>
          <c:tx>
            <c:strRef>
              <c:f>Pivot_Table!$I$47:$I$48</c:f>
              <c:strCache>
                <c:ptCount val="1"/>
                <c:pt idx="0">
                  <c:v>25</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Pivot_Table!$A$49:$A$56</c:f>
              <c:strCache>
                <c:ptCount val="7"/>
                <c:pt idx="0">
                  <c:v>2024</c:v>
                </c:pt>
                <c:pt idx="1">
                  <c:v>2025</c:v>
                </c:pt>
                <c:pt idx="2">
                  <c:v>2026</c:v>
                </c:pt>
                <c:pt idx="3">
                  <c:v>2027</c:v>
                </c:pt>
                <c:pt idx="4">
                  <c:v>2028</c:v>
                </c:pt>
                <c:pt idx="5">
                  <c:v>2029</c:v>
                </c:pt>
                <c:pt idx="6">
                  <c:v>2030</c:v>
                </c:pt>
              </c:strCache>
            </c:strRef>
          </c:cat>
          <c:val>
            <c:numRef>
              <c:f>Pivot_Table!$I$49:$I$56</c:f>
              <c:numCache>
                <c:formatCode>General</c:formatCode>
                <c:ptCount val="7"/>
                <c:pt idx="0">
                  <c:v>3</c:v>
                </c:pt>
                <c:pt idx="1">
                  <c:v>3</c:v>
                </c:pt>
                <c:pt idx="2">
                  <c:v>3</c:v>
                </c:pt>
                <c:pt idx="3">
                  <c:v>6</c:v>
                </c:pt>
                <c:pt idx="4">
                  <c:v>3</c:v>
                </c:pt>
                <c:pt idx="5">
                  <c:v>1</c:v>
                </c:pt>
                <c:pt idx="6">
                  <c:v>7</c:v>
                </c:pt>
              </c:numCache>
            </c:numRef>
          </c:val>
          <c:smooth val="0"/>
          <c:extLst>
            <c:ext xmlns:c16="http://schemas.microsoft.com/office/drawing/2014/chart" uri="{C3380CC4-5D6E-409C-BE32-E72D297353CC}">
              <c16:uniqueId val="{00000002-5DCA-4486-AAE1-78DE4A432C7F}"/>
            </c:ext>
          </c:extLst>
        </c:ser>
        <c:dLbls>
          <c:showLegendKey val="0"/>
          <c:showVal val="0"/>
          <c:showCatName val="0"/>
          <c:showSerName val="0"/>
          <c:showPercent val="0"/>
          <c:showBubbleSize val="0"/>
        </c:dLbls>
        <c:marker val="1"/>
        <c:smooth val="0"/>
        <c:axId val="590412720"/>
        <c:axId val="590413200"/>
      </c:lineChart>
      <c:catAx>
        <c:axId val="59041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13200"/>
        <c:crosses val="autoZero"/>
        <c:auto val="1"/>
        <c:lblAlgn val="ctr"/>
        <c:lblOffset val="100"/>
        <c:noMultiLvlLbl val="0"/>
      </c:catAx>
      <c:valAx>
        <c:axId val="59041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1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[Student_Performance_Analysis_Sura_Sammour.xlsx]Pivot_Table!PivotTable10</c:name>
    <c:fmtId val="1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b="1" i="0" u="none" strike="noStrike" cap="all" normalizeH="0" baseline="0">
                <a:solidFill>
                  <a:schemeClr val="tx1">
                    <a:lumMod val="95000"/>
                    <a:lumOff val="5000"/>
                  </a:schemeClr>
                </a:solidFill>
              </a:rPr>
              <a:t>Average Attendance by Department</a:t>
            </a: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Pivot_Table!$B$28</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Pivot_Table!$A$29:$A$34</c:f>
              <c:strCache>
                <c:ptCount val="5"/>
                <c:pt idx="0">
                  <c:v>Biology</c:v>
                </c:pt>
                <c:pt idx="1">
                  <c:v>Chemistry</c:v>
                </c:pt>
                <c:pt idx="2">
                  <c:v>Computer Science</c:v>
                </c:pt>
                <c:pt idx="3">
                  <c:v>Mathematics</c:v>
                </c:pt>
                <c:pt idx="4">
                  <c:v>Physics</c:v>
                </c:pt>
              </c:strCache>
            </c:strRef>
          </c:cat>
          <c:val>
            <c:numRef>
              <c:f>Pivot_Table!$B$29:$B$34</c:f>
              <c:numCache>
                <c:formatCode>0.00</c:formatCode>
                <c:ptCount val="5"/>
                <c:pt idx="0">
                  <c:v>79.081481481481475</c:v>
                </c:pt>
                <c:pt idx="1">
                  <c:v>82.878043478260878</c:v>
                </c:pt>
                <c:pt idx="2">
                  <c:v>79.740652173913091</c:v>
                </c:pt>
                <c:pt idx="3">
                  <c:v>79.451999999999998</c:v>
                </c:pt>
                <c:pt idx="4">
                  <c:v>78.365882352941142</c:v>
                </c:pt>
              </c:numCache>
            </c:numRef>
          </c:val>
          <c:extLst>
            <c:ext xmlns:c16="http://schemas.microsoft.com/office/drawing/2014/chart" uri="{C3380CC4-5D6E-409C-BE32-E72D297353CC}">
              <c16:uniqueId val="{00000002-97A4-4445-8029-269BE87EC78B}"/>
            </c:ext>
          </c:extLst>
        </c:ser>
        <c:dLbls>
          <c:dLblPos val="ctr"/>
          <c:showLegendKey val="0"/>
          <c:showVal val="1"/>
          <c:showCatName val="0"/>
          <c:showSerName val="0"/>
          <c:showPercent val="0"/>
          <c:showBubbleSize val="0"/>
        </c:dLbls>
        <c:gapWidth val="79"/>
        <c:overlap val="100"/>
        <c:axId val="1768394031"/>
        <c:axId val="1768394511"/>
      </c:barChart>
      <c:catAx>
        <c:axId val="1768394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cap="all" spc="120" normalizeH="0" baseline="0">
                <a:solidFill>
                  <a:schemeClr val="tx1">
                    <a:lumMod val="65000"/>
                    <a:lumOff val="35000"/>
                  </a:schemeClr>
                </a:solidFill>
                <a:latin typeface="+mn-lt"/>
                <a:ea typeface="+mn-ea"/>
                <a:cs typeface="+mn-cs"/>
              </a:defRPr>
            </a:pPr>
            <a:endParaRPr lang="en-US"/>
          </a:p>
        </c:txPr>
        <c:crossAx val="1768394511"/>
        <c:crosses val="autoZero"/>
        <c:auto val="1"/>
        <c:lblAlgn val="ctr"/>
        <c:lblOffset val="100"/>
        <c:noMultiLvlLbl val="0"/>
      </c:catAx>
      <c:valAx>
        <c:axId val="1768394511"/>
        <c:scaling>
          <c:orientation val="minMax"/>
        </c:scaling>
        <c:delete val="1"/>
        <c:axPos val="l"/>
        <c:numFmt formatCode="0.00" sourceLinked="1"/>
        <c:majorTickMark val="none"/>
        <c:minorTickMark val="none"/>
        <c:tickLblPos val="nextTo"/>
        <c:crossAx val="176839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[Student_Performance_Analysis_Sura_Sammour.xlsx]Pivot_Table!PivotTable11</c:name>
    <c:fmtId val="4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Pivot_Table!$B$37:$B$38</c:f>
              <c:strCache>
                <c:ptCount val="1"/>
                <c:pt idx="0">
                  <c:v>Female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Pivot_Table!$A$39:$A$44</c:f>
              <c:strCache>
                <c:ptCount val="5"/>
                <c:pt idx="0">
                  <c:v>Biology</c:v>
                </c:pt>
                <c:pt idx="1">
                  <c:v>Chemistry</c:v>
                </c:pt>
                <c:pt idx="2">
                  <c:v>Computer Science</c:v>
                </c:pt>
                <c:pt idx="3">
                  <c:v>Mathematics</c:v>
                </c:pt>
                <c:pt idx="4">
                  <c:v>Physics</c:v>
                </c:pt>
              </c:strCache>
            </c:strRef>
          </c:cat>
          <c:val>
            <c:numRef>
              <c:f>Pivot_Table!$B$39:$B$44</c:f>
              <c:numCache>
                <c:formatCode>General</c:formatCode>
                <c:ptCount val="5"/>
                <c:pt idx="0">
                  <c:v>11</c:v>
                </c:pt>
                <c:pt idx="1">
                  <c:v>17</c:v>
                </c:pt>
                <c:pt idx="2">
                  <c:v>18</c:v>
                </c:pt>
                <c:pt idx="3">
                  <c:v>11</c:v>
                </c:pt>
                <c:pt idx="4">
                  <c:v>25</c:v>
                </c:pt>
              </c:numCache>
            </c:numRef>
          </c:val>
          <c:extLst>
            <c:ext xmlns:c16="http://schemas.microsoft.com/office/drawing/2014/chart" uri="{C3380CC4-5D6E-409C-BE32-E72D297353CC}">
              <c16:uniqueId val="{00000000-E883-453A-9892-AC74D761870B}"/>
            </c:ext>
          </c:extLst>
        </c:ser>
        <c:ser>
          <c:idx val="1"/>
          <c:order val="1"/>
          <c:tx>
            <c:strRef>
              <c:f>Pivot_Table!$C$37:$C$38</c:f>
              <c:strCache>
                <c:ptCount val="1"/>
                <c:pt idx="0">
                  <c:v>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Pivot_Table!$A$39:$A$44</c:f>
              <c:strCache>
                <c:ptCount val="5"/>
                <c:pt idx="0">
                  <c:v>Biology</c:v>
                </c:pt>
                <c:pt idx="1">
                  <c:v>Chemistry</c:v>
                </c:pt>
                <c:pt idx="2">
                  <c:v>Computer Science</c:v>
                </c:pt>
                <c:pt idx="3">
                  <c:v>Mathematics</c:v>
                </c:pt>
                <c:pt idx="4">
                  <c:v>Physics</c:v>
                </c:pt>
              </c:strCache>
            </c:strRef>
          </c:cat>
          <c:val>
            <c:numRef>
              <c:f>Pivot_Table!$C$39:$C$44</c:f>
              <c:numCache>
                <c:formatCode>General</c:formatCode>
                <c:ptCount val="5"/>
                <c:pt idx="0">
                  <c:v>16</c:v>
                </c:pt>
                <c:pt idx="1">
                  <c:v>29</c:v>
                </c:pt>
                <c:pt idx="2">
                  <c:v>28</c:v>
                </c:pt>
                <c:pt idx="3">
                  <c:v>19</c:v>
                </c:pt>
                <c:pt idx="4">
                  <c:v>26</c:v>
                </c:pt>
              </c:numCache>
            </c:numRef>
          </c:val>
          <c:extLst>
            <c:ext xmlns:c16="http://schemas.microsoft.com/office/drawing/2014/chart" uri="{C3380CC4-5D6E-409C-BE32-E72D297353CC}">
              <c16:uniqueId val="{00000001-E883-453A-9892-AC74D761870B}"/>
            </c:ext>
          </c:extLst>
        </c:ser>
        <c:dLbls>
          <c:dLblPos val="ctr"/>
          <c:showLegendKey val="0"/>
          <c:showVal val="1"/>
          <c:showCatName val="0"/>
          <c:showSerName val="0"/>
          <c:showPercent val="0"/>
          <c:showBubbleSize val="0"/>
        </c:dLbls>
        <c:gapWidth val="79"/>
        <c:overlap val="100"/>
        <c:axId val="1768394031"/>
        <c:axId val="1768394511"/>
      </c:barChart>
      <c:catAx>
        <c:axId val="1768394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cap="all" spc="120" normalizeH="0" baseline="0">
                <a:solidFill>
                  <a:schemeClr val="tx1">
                    <a:lumMod val="65000"/>
                    <a:lumOff val="35000"/>
                  </a:schemeClr>
                </a:solidFill>
                <a:latin typeface="+mn-lt"/>
                <a:ea typeface="+mn-ea"/>
                <a:cs typeface="+mn-cs"/>
              </a:defRPr>
            </a:pPr>
            <a:endParaRPr lang="en-US"/>
          </a:p>
        </c:txPr>
        <c:crossAx val="1768394511"/>
        <c:crosses val="autoZero"/>
        <c:auto val="1"/>
        <c:lblAlgn val="ctr"/>
        <c:lblOffset val="100"/>
        <c:noMultiLvlLbl val="0"/>
      </c:catAx>
      <c:valAx>
        <c:axId val="1768394511"/>
        <c:scaling>
          <c:orientation val="minMax"/>
        </c:scaling>
        <c:delete val="1"/>
        <c:axPos val="l"/>
        <c:numFmt formatCode="General" sourceLinked="1"/>
        <c:majorTickMark val="none"/>
        <c:minorTickMark val="none"/>
        <c:tickLblPos val="nextTo"/>
        <c:crossAx val="176839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[Student_Performance_Analysis_Sura_Sammour.xlsx]Pivot_Table!PivotTable4</c:name>
    <c:fmtId val="2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solidFill>
                  <a:schemeClr val="tx1"/>
                </a:solidFill>
              </a:rPr>
              <a:t>Overall Student Gender Distribution</a:t>
            </a:r>
            <a:endParaRPr lang="en-US">
              <a:solidFill>
                <a:schemeClr val="tx1"/>
              </a:solidFill>
            </a:endParaRPr>
          </a:p>
        </c:rich>
      </c:tx>
      <c:layout>
        <c:manualLayout>
          <c:xMode val="edge"/>
          <c:yMode val="edge"/>
          <c:x val="0.25499180581935393"/>
          <c:y val="2.36455796729936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5">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Pivot_Table!$B$14</c:f>
              <c:strCache>
                <c:ptCount val="1"/>
                <c:pt idx="0">
                  <c:v>Total</c:v>
                </c:pt>
              </c:strCache>
            </c:strRef>
          </c:tx>
          <c:dPt>
            <c:idx val="0"/>
            <c:bubble3D val="0"/>
            <c:spPr>
              <a:solidFill>
                <a:schemeClr val="accent5">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52D-4D0B-9C5C-C18A760DB47B}"/>
              </c:ext>
            </c:extLst>
          </c:dPt>
          <c:dPt>
            <c:idx val="1"/>
            <c:bubble3D val="0"/>
            <c:spPr>
              <a:solidFill>
                <a:schemeClr val="accent5">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52D-4D0B-9C5C-C18A760DB47B}"/>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Pivot_Table!$A$15:$A$17</c:f>
              <c:strCache>
                <c:ptCount val="2"/>
                <c:pt idx="0">
                  <c:v>Female</c:v>
                </c:pt>
                <c:pt idx="1">
                  <c:v>Male</c:v>
                </c:pt>
              </c:strCache>
            </c:strRef>
          </c:cat>
          <c:val>
            <c:numRef>
              <c:f>Pivot_Table!$B$15:$B$17</c:f>
              <c:numCache>
                <c:formatCode>General</c:formatCode>
                <c:ptCount val="2"/>
                <c:pt idx="0">
                  <c:v>82</c:v>
                </c:pt>
                <c:pt idx="1">
                  <c:v>118</c:v>
                </c:pt>
              </c:numCache>
            </c:numRef>
          </c:val>
          <c:extLst>
            <c:ext xmlns:c16="http://schemas.microsoft.com/office/drawing/2014/chart" uri="{C3380CC4-5D6E-409C-BE32-E72D297353CC}">
              <c16:uniqueId val="{00000004-352D-4D0B-9C5C-C18A760DB47B}"/>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24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[Student_Performance_Analysis_Sura_Sammour.xlsx]Pivot_Table!PivotTable12</c:name>
    <c:fmtId val="10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602209636333618E-2"/>
          <c:y val="1.1396434947638544E-2"/>
          <c:w val="0.91820418030171214"/>
          <c:h val="0.86895154539622332"/>
        </c:manualLayout>
      </c:layout>
      <c:lineChart>
        <c:grouping val="standard"/>
        <c:varyColors val="0"/>
        <c:ser>
          <c:idx val="0"/>
          <c:order val="0"/>
          <c:tx>
            <c:strRef>
              <c:f>Pivot_Table!$B$47:$B$48</c:f>
              <c:strCache>
                <c:ptCount val="1"/>
                <c:pt idx="0">
                  <c:v>18</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Pivot_Table!$A$49:$A$56</c:f>
              <c:strCache>
                <c:ptCount val="7"/>
                <c:pt idx="0">
                  <c:v>2024</c:v>
                </c:pt>
                <c:pt idx="1">
                  <c:v>2025</c:v>
                </c:pt>
                <c:pt idx="2">
                  <c:v>2026</c:v>
                </c:pt>
                <c:pt idx="3">
                  <c:v>2027</c:v>
                </c:pt>
                <c:pt idx="4">
                  <c:v>2028</c:v>
                </c:pt>
                <c:pt idx="5">
                  <c:v>2029</c:v>
                </c:pt>
                <c:pt idx="6">
                  <c:v>2030</c:v>
                </c:pt>
              </c:strCache>
            </c:strRef>
          </c:cat>
          <c:val>
            <c:numRef>
              <c:f>Pivot_Table!$B$49:$B$56</c:f>
              <c:numCache>
                <c:formatCode>General</c:formatCode>
                <c:ptCount val="7"/>
                <c:pt idx="0">
                  <c:v>1</c:v>
                </c:pt>
                <c:pt idx="1">
                  <c:v>5</c:v>
                </c:pt>
                <c:pt idx="2">
                  <c:v>3</c:v>
                </c:pt>
                <c:pt idx="3">
                  <c:v>1</c:v>
                </c:pt>
                <c:pt idx="4">
                  <c:v>6</c:v>
                </c:pt>
                <c:pt idx="5">
                  <c:v>1</c:v>
                </c:pt>
                <c:pt idx="6">
                  <c:v>4</c:v>
                </c:pt>
              </c:numCache>
            </c:numRef>
          </c:val>
          <c:smooth val="1"/>
          <c:extLst>
            <c:ext xmlns:c16="http://schemas.microsoft.com/office/drawing/2014/chart" uri="{C3380CC4-5D6E-409C-BE32-E72D297353CC}">
              <c16:uniqueId val="{00000000-1968-4782-ACCC-22420025DD0A}"/>
            </c:ext>
          </c:extLst>
        </c:ser>
        <c:ser>
          <c:idx val="1"/>
          <c:order val="1"/>
          <c:tx>
            <c:strRef>
              <c:f>Pivot_Table!$C$47:$C$48</c:f>
              <c:strCache>
                <c:ptCount val="1"/>
                <c:pt idx="0">
                  <c:v>19</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Pivot_Table!$A$49:$A$56</c:f>
              <c:strCache>
                <c:ptCount val="7"/>
                <c:pt idx="0">
                  <c:v>2024</c:v>
                </c:pt>
                <c:pt idx="1">
                  <c:v>2025</c:v>
                </c:pt>
                <c:pt idx="2">
                  <c:v>2026</c:v>
                </c:pt>
                <c:pt idx="3">
                  <c:v>2027</c:v>
                </c:pt>
                <c:pt idx="4">
                  <c:v>2028</c:v>
                </c:pt>
                <c:pt idx="5">
                  <c:v>2029</c:v>
                </c:pt>
                <c:pt idx="6">
                  <c:v>2030</c:v>
                </c:pt>
              </c:strCache>
            </c:strRef>
          </c:cat>
          <c:val>
            <c:numRef>
              <c:f>Pivot_Table!$C$49:$C$56</c:f>
              <c:numCache>
                <c:formatCode>General</c:formatCode>
                <c:ptCount val="7"/>
                <c:pt idx="0">
                  <c:v>2</c:v>
                </c:pt>
                <c:pt idx="1">
                  <c:v>3</c:v>
                </c:pt>
                <c:pt idx="2">
                  <c:v>2</c:v>
                </c:pt>
                <c:pt idx="3">
                  <c:v>6</c:v>
                </c:pt>
                <c:pt idx="4">
                  <c:v>3</c:v>
                </c:pt>
                <c:pt idx="5">
                  <c:v>5</c:v>
                </c:pt>
                <c:pt idx="6">
                  <c:v>6</c:v>
                </c:pt>
              </c:numCache>
            </c:numRef>
          </c:val>
          <c:smooth val="1"/>
          <c:extLst>
            <c:ext xmlns:c16="http://schemas.microsoft.com/office/drawing/2014/chart" uri="{C3380CC4-5D6E-409C-BE32-E72D297353CC}">
              <c16:uniqueId val="{00000001-1968-4782-ACCC-22420025DD0A}"/>
            </c:ext>
          </c:extLst>
        </c:ser>
        <c:ser>
          <c:idx val="2"/>
          <c:order val="2"/>
          <c:tx>
            <c:strRef>
              <c:f>Pivot_Table!$D$47:$D$48</c:f>
              <c:strCache>
                <c:ptCount val="1"/>
                <c:pt idx="0">
                  <c:v>20</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Pivot_Table!$A$49:$A$56</c:f>
              <c:strCache>
                <c:ptCount val="7"/>
                <c:pt idx="0">
                  <c:v>2024</c:v>
                </c:pt>
                <c:pt idx="1">
                  <c:v>2025</c:v>
                </c:pt>
                <c:pt idx="2">
                  <c:v>2026</c:v>
                </c:pt>
                <c:pt idx="3">
                  <c:v>2027</c:v>
                </c:pt>
                <c:pt idx="4">
                  <c:v>2028</c:v>
                </c:pt>
                <c:pt idx="5">
                  <c:v>2029</c:v>
                </c:pt>
                <c:pt idx="6">
                  <c:v>2030</c:v>
                </c:pt>
              </c:strCache>
            </c:strRef>
          </c:cat>
          <c:val>
            <c:numRef>
              <c:f>Pivot_Table!$D$49:$D$56</c:f>
              <c:numCache>
                <c:formatCode>General</c:formatCode>
                <c:ptCount val="7"/>
                <c:pt idx="1">
                  <c:v>4</c:v>
                </c:pt>
                <c:pt idx="2">
                  <c:v>2</c:v>
                </c:pt>
                <c:pt idx="3">
                  <c:v>6</c:v>
                </c:pt>
                <c:pt idx="4">
                  <c:v>1</c:v>
                </c:pt>
                <c:pt idx="5">
                  <c:v>6</c:v>
                </c:pt>
                <c:pt idx="6">
                  <c:v>5</c:v>
                </c:pt>
              </c:numCache>
            </c:numRef>
          </c:val>
          <c:smooth val="1"/>
          <c:extLst>
            <c:ext xmlns:c16="http://schemas.microsoft.com/office/drawing/2014/chart" uri="{C3380CC4-5D6E-409C-BE32-E72D297353CC}">
              <c16:uniqueId val="{00000002-1968-4782-ACCC-22420025DD0A}"/>
            </c:ext>
          </c:extLst>
        </c:ser>
        <c:ser>
          <c:idx val="3"/>
          <c:order val="3"/>
          <c:tx>
            <c:strRef>
              <c:f>Pivot_Table!$E$47:$E$48</c:f>
              <c:strCache>
                <c:ptCount val="1"/>
                <c:pt idx="0">
                  <c:v>21</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Pivot_Table!$A$49:$A$56</c:f>
              <c:strCache>
                <c:ptCount val="7"/>
                <c:pt idx="0">
                  <c:v>2024</c:v>
                </c:pt>
                <c:pt idx="1">
                  <c:v>2025</c:v>
                </c:pt>
                <c:pt idx="2">
                  <c:v>2026</c:v>
                </c:pt>
                <c:pt idx="3">
                  <c:v>2027</c:v>
                </c:pt>
                <c:pt idx="4">
                  <c:v>2028</c:v>
                </c:pt>
                <c:pt idx="5">
                  <c:v>2029</c:v>
                </c:pt>
                <c:pt idx="6">
                  <c:v>2030</c:v>
                </c:pt>
              </c:strCache>
            </c:strRef>
          </c:cat>
          <c:val>
            <c:numRef>
              <c:f>Pivot_Table!$E$49:$E$56</c:f>
              <c:numCache>
                <c:formatCode>General</c:formatCode>
                <c:ptCount val="7"/>
                <c:pt idx="0">
                  <c:v>6</c:v>
                </c:pt>
                <c:pt idx="1">
                  <c:v>1</c:v>
                </c:pt>
                <c:pt idx="2">
                  <c:v>3</c:v>
                </c:pt>
                <c:pt idx="3">
                  <c:v>3</c:v>
                </c:pt>
                <c:pt idx="4">
                  <c:v>1</c:v>
                </c:pt>
                <c:pt idx="5">
                  <c:v>4</c:v>
                </c:pt>
                <c:pt idx="6">
                  <c:v>6</c:v>
                </c:pt>
              </c:numCache>
            </c:numRef>
          </c:val>
          <c:smooth val="1"/>
          <c:extLst>
            <c:ext xmlns:c16="http://schemas.microsoft.com/office/drawing/2014/chart" uri="{C3380CC4-5D6E-409C-BE32-E72D297353CC}">
              <c16:uniqueId val="{00000003-1968-4782-ACCC-22420025DD0A}"/>
            </c:ext>
          </c:extLst>
        </c:ser>
        <c:ser>
          <c:idx val="4"/>
          <c:order val="4"/>
          <c:tx>
            <c:strRef>
              <c:f>Pivot_Table!$F$47:$F$48</c:f>
              <c:strCache>
                <c:ptCount val="1"/>
                <c:pt idx="0">
                  <c:v>22</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Pivot_Table!$A$49:$A$56</c:f>
              <c:strCache>
                <c:ptCount val="7"/>
                <c:pt idx="0">
                  <c:v>2024</c:v>
                </c:pt>
                <c:pt idx="1">
                  <c:v>2025</c:v>
                </c:pt>
                <c:pt idx="2">
                  <c:v>2026</c:v>
                </c:pt>
                <c:pt idx="3">
                  <c:v>2027</c:v>
                </c:pt>
                <c:pt idx="4">
                  <c:v>2028</c:v>
                </c:pt>
                <c:pt idx="5">
                  <c:v>2029</c:v>
                </c:pt>
                <c:pt idx="6">
                  <c:v>2030</c:v>
                </c:pt>
              </c:strCache>
            </c:strRef>
          </c:cat>
          <c:val>
            <c:numRef>
              <c:f>Pivot_Table!$F$49:$F$56</c:f>
              <c:numCache>
                <c:formatCode>General</c:formatCode>
                <c:ptCount val="7"/>
                <c:pt idx="0">
                  <c:v>5</c:v>
                </c:pt>
                <c:pt idx="1">
                  <c:v>4</c:v>
                </c:pt>
                <c:pt idx="2">
                  <c:v>4</c:v>
                </c:pt>
                <c:pt idx="3">
                  <c:v>6</c:v>
                </c:pt>
                <c:pt idx="4">
                  <c:v>3</c:v>
                </c:pt>
                <c:pt idx="5">
                  <c:v>2</c:v>
                </c:pt>
                <c:pt idx="6">
                  <c:v>4</c:v>
                </c:pt>
              </c:numCache>
            </c:numRef>
          </c:val>
          <c:smooth val="1"/>
          <c:extLst>
            <c:ext xmlns:c16="http://schemas.microsoft.com/office/drawing/2014/chart" uri="{C3380CC4-5D6E-409C-BE32-E72D297353CC}">
              <c16:uniqueId val="{00000004-1968-4782-ACCC-22420025DD0A}"/>
            </c:ext>
          </c:extLst>
        </c:ser>
        <c:ser>
          <c:idx val="5"/>
          <c:order val="5"/>
          <c:tx>
            <c:strRef>
              <c:f>Pivot_Table!$G$47:$G$48</c:f>
              <c:strCache>
                <c:ptCount val="1"/>
                <c:pt idx="0">
                  <c:v>23</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Pivot_Table!$A$49:$A$56</c:f>
              <c:strCache>
                <c:ptCount val="7"/>
                <c:pt idx="0">
                  <c:v>2024</c:v>
                </c:pt>
                <c:pt idx="1">
                  <c:v>2025</c:v>
                </c:pt>
                <c:pt idx="2">
                  <c:v>2026</c:v>
                </c:pt>
                <c:pt idx="3">
                  <c:v>2027</c:v>
                </c:pt>
                <c:pt idx="4">
                  <c:v>2028</c:v>
                </c:pt>
                <c:pt idx="5">
                  <c:v>2029</c:v>
                </c:pt>
                <c:pt idx="6">
                  <c:v>2030</c:v>
                </c:pt>
              </c:strCache>
            </c:strRef>
          </c:cat>
          <c:val>
            <c:numRef>
              <c:f>Pivot_Table!$G$49:$G$56</c:f>
              <c:numCache>
                <c:formatCode>General</c:formatCode>
                <c:ptCount val="7"/>
                <c:pt idx="0">
                  <c:v>2</c:v>
                </c:pt>
                <c:pt idx="1">
                  <c:v>6</c:v>
                </c:pt>
                <c:pt idx="2">
                  <c:v>3</c:v>
                </c:pt>
                <c:pt idx="3">
                  <c:v>3</c:v>
                </c:pt>
                <c:pt idx="4">
                  <c:v>7</c:v>
                </c:pt>
                <c:pt idx="5">
                  <c:v>2</c:v>
                </c:pt>
                <c:pt idx="6">
                  <c:v>2</c:v>
                </c:pt>
              </c:numCache>
            </c:numRef>
          </c:val>
          <c:smooth val="1"/>
          <c:extLst>
            <c:ext xmlns:c16="http://schemas.microsoft.com/office/drawing/2014/chart" uri="{C3380CC4-5D6E-409C-BE32-E72D297353CC}">
              <c16:uniqueId val="{00000005-1968-4782-ACCC-22420025DD0A}"/>
            </c:ext>
          </c:extLst>
        </c:ser>
        <c:ser>
          <c:idx val="6"/>
          <c:order val="6"/>
          <c:tx>
            <c:strRef>
              <c:f>Pivot_Table!$H$47:$H$48</c:f>
              <c:strCache>
                <c:ptCount val="1"/>
                <c:pt idx="0">
                  <c:v>24</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Pivot_Table!$A$49:$A$56</c:f>
              <c:strCache>
                <c:ptCount val="7"/>
                <c:pt idx="0">
                  <c:v>2024</c:v>
                </c:pt>
                <c:pt idx="1">
                  <c:v>2025</c:v>
                </c:pt>
                <c:pt idx="2">
                  <c:v>2026</c:v>
                </c:pt>
                <c:pt idx="3">
                  <c:v>2027</c:v>
                </c:pt>
                <c:pt idx="4">
                  <c:v>2028</c:v>
                </c:pt>
                <c:pt idx="5">
                  <c:v>2029</c:v>
                </c:pt>
                <c:pt idx="6">
                  <c:v>2030</c:v>
                </c:pt>
              </c:strCache>
            </c:strRef>
          </c:cat>
          <c:val>
            <c:numRef>
              <c:f>Pivot_Table!$H$49:$H$56</c:f>
              <c:numCache>
                <c:formatCode>General</c:formatCode>
                <c:ptCount val="7"/>
                <c:pt idx="0">
                  <c:v>4</c:v>
                </c:pt>
                <c:pt idx="1">
                  <c:v>4</c:v>
                </c:pt>
                <c:pt idx="2">
                  <c:v>3</c:v>
                </c:pt>
                <c:pt idx="3">
                  <c:v>5</c:v>
                </c:pt>
                <c:pt idx="4">
                  <c:v>1</c:v>
                </c:pt>
                <c:pt idx="5">
                  <c:v>5</c:v>
                </c:pt>
                <c:pt idx="6">
                  <c:v>3</c:v>
                </c:pt>
              </c:numCache>
            </c:numRef>
          </c:val>
          <c:smooth val="1"/>
          <c:extLst>
            <c:ext xmlns:c16="http://schemas.microsoft.com/office/drawing/2014/chart" uri="{C3380CC4-5D6E-409C-BE32-E72D297353CC}">
              <c16:uniqueId val="{00000006-1968-4782-ACCC-22420025DD0A}"/>
            </c:ext>
          </c:extLst>
        </c:ser>
        <c:ser>
          <c:idx val="7"/>
          <c:order val="7"/>
          <c:tx>
            <c:strRef>
              <c:f>Pivot_Table!$I$47:$I$48</c:f>
              <c:strCache>
                <c:ptCount val="1"/>
                <c:pt idx="0">
                  <c:v>25</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Pivot_Table!$A$49:$A$56</c:f>
              <c:strCache>
                <c:ptCount val="7"/>
                <c:pt idx="0">
                  <c:v>2024</c:v>
                </c:pt>
                <c:pt idx="1">
                  <c:v>2025</c:v>
                </c:pt>
                <c:pt idx="2">
                  <c:v>2026</c:v>
                </c:pt>
                <c:pt idx="3">
                  <c:v>2027</c:v>
                </c:pt>
                <c:pt idx="4">
                  <c:v>2028</c:v>
                </c:pt>
                <c:pt idx="5">
                  <c:v>2029</c:v>
                </c:pt>
                <c:pt idx="6">
                  <c:v>2030</c:v>
                </c:pt>
              </c:strCache>
            </c:strRef>
          </c:cat>
          <c:val>
            <c:numRef>
              <c:f>Pivot_Table!$I$49:$I$56</c:f>
              <c:numCache>
                <c:formatCode>General</c:formatCode>
                <c:ptCount val="7"/>
                <c:pt idx="0">
                  <c:v>3</c:v>
                </c:pt>
                <c:pt idx="1">
                  <c:v>3</c:v>
                </c:pt>
                <c:pt idx="2">
                  <c:v>3</c:v>
                </c:pt>
                <c:pt idx="3">
                  <c:v>6</c:v>
                </c:pt>
                <c:pt idx="4">
                  <c:v>3</c:v>
                </c:pt>
                <c:pt idx="5">
                  <c:v>1</c:v>
                </c:pt>
                <c:pt idx="6">
                  <c:v>7</c:v>
                </c:pt>
              </c:numCache>
            </c:numRef>
          </c:val>
          <c:smooth val="0"/>
          <c:extLst>
            <c:ext xmlns:c16="http://schemas.microsoft.com/office/drawing/2014/chart" uri="{C3380CC4-5D6E-409C-BE32-E72D297353CC}">
              <c16:uniqueId val="{00000003-58C2-4951-A1C1-332C56E28CA6}"/>
            </c:ext>
          </c:extLst>
        </c:ser>
        <c:dLbls>
          <c:showLegendKey val="0"/>
          <c:showVal val="0"/>
          <c:showCatName val="0"/>
          <c:showSerName val="0"/>
          <c:showPercent val="0"/>
          <c:showBubbleSize val="0"/>
        </c:dLbls>
        <c:marker val="1"/>
        <c:smooth val="0"/>
        <c:axId val="590412720"/>
        <c:axId val="590413200"/>
      </c:lineChart>
      <c:catAx>
        <c:axId val="59041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590413200"/>
        <c:crosses val="autoZero"/>
        <c:auto val="1"/>
        <c:lblAlgn val="ctr"/>
        <c:lblOffset val="100"/>
        <c:noMultiLvlLbl val="0"/>
      </c:catAx>
      <c:valAx>
        <c:axId val="59041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59041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svg"/><Relationship Id="rId3" Type="http://schemas.openxmlformats.org/officeDocument/2006/relationships/image" Target="../media/image2.png"/><Relationship Id="rId7" Type="http://schemas.openxmlformats.org/officeDocument/2006/relationships/chart" Target="../charts/chart7.xml"/><Relationship Id="rId12" Type="http://schemas.openxmlformats.org/officeDocument/2006/relationships/image" Target="../media/image10.png"/><Relationship Id="rId2" Type="http://schemas.openxmlformats.org/officeDocument/2006/relationships/chart" Target="../charts/chart6.xml"/><Relationship Id="rId16" Type="http://schemas.openxmlformats.org/officeDocument/2006/relationships/image" Target="../media/image13.svg"/><Relationship Id="rId1" Type="http://schemas.openxmlformats.org/officeDocument/2006/relationships/chart" Target="../charts/chart5.xml"/><Relationship Id="rId6" Type="http://schemas.openxmlformats.org/officeDocument/2006/relationships/image" Target="../media/image5.svg"/><Relationship Id="rId11" Type="http://schemas.openxmlformats.org/officeDocument/2006/relationships/image" Target="../media/image9.svg"/><Relationship Id="rId5" Type="http://schemas.openxmlformats.org/officeDocument/2006/relationships/image" Target="../media/image4.png"/><Relationship Id="rId15" Type="http://schemas.openxmlformats.org/officeDocument/2006/relationships/image" Target="../media/image12.png"/><Relationship Id="rId10" Type="http://schemas.openxmlformats.org/officeDocument/2006/relationships/image" Target="../media/image8.png"/><Relationship Id="rId4" Type="http://schemas.openxmlformats.org/officeDocument/2006/relationships/image" Target="../media/image3.svg"/><Relationship Id="rId9" Type="http://schemas.openxmlformats.org/officeDocument/2006/relationships/image" Target="../media/image7.sv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614025</xdr:colOff>
      <xdr:row>17</xdr:row>
      <xdr:rowOff>43507</xdr:rowOff>
    </xdr:from>
    <xdr:to>
      <xdr:col>14</xdr:col>
      <xdr:colOff>594606</xdr:colOff>
      <xdr:row>30</xdr:row>
      <xdr:rowOff>20648</xdr:rowOff>
    </xdr:to>
    <xdr:graphicFrame macro="">
      <xdr:nvGraphicFramePr>
        <xdr:cNvPr id="2" name="Chart 1">
          <a:extLst>
            <a:ext uri="{FF2B5EF4-FFF2-40B4-BE49-F238E27FC236}">
              <a16:creationId xmlns:a16="http://schemas.microsoft.com/office/drawing/2014/main" id="{1620BD15-D528-3953-70E1-D0E89BE59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358140</xdr:colOff>
      <xdr:row>30</xdr:row>
      <xdr:rowOff>156210</xdr:rowOff>
    </xdr:from>
    <xdr:to>
      <xdr:col>17</xdr:col>
      <xdr:colOff>53340</xdr:colOff>
      <xdr:row>45</xdr:row>
      <xdr:rowOff>156210</xdr:rowOff>
    </xdr:to>
    <xdr:graphicFrame macro="">
      <xdr:nvGraphicFramePr>
        <xdr:cNvPr id="5" name="Chart 4">
          <a:extLst>
            <a:ext uri="{FF2B5EF4-FFF2-40B4-BE49-F238E27FC236}">
              <a16:creationId xmlns:a16="http://schemas.microsoft.com/office/drawing/2014/main" id="{B040D973-C056-B41D-41EB-0C02F34E4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108892</xdr:colOff>
      <xdr:row>1</xdr:row>
      <xdr:rowOff>104958</xdr:rowOff>
    </xdr:from>
    <xdr:to>
      <xdr:col>14</xdr:col>
      <xdr:colOff>601980</xdr:colOff>
      <xdr:row>16</xdr:row>
      <xdr:rowOff>57334</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CBFEDD63-893D-33ED-FD47-975201D24F7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441731" y="277023"/>
              <a:ext cx="1845023" cy="2533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220980</xdr:colOff>
      <xdr:row>2</xdr:row>
      <xdr:rowOff>76200</xdr:rowOff>
    </xdr:from>
    <xdr:to>
      <xdr:col>11</xdr:col>
      <xdr:colOff>335280</xdr:colOff>
      <xdr:row>13</xdr:row>
      <xdr:rowOff>110490</xdr:rowOff>
    </xdr:to>
    <xdr:graphicFrame macro="">
      <xdr:nvGraphicFramePr>
        <xdr:cNvPr id="11" name="Chart 10">
          <a:extLst>
            <a:ext uri="{FF2B5EF4-FFF2-40B4-BE49-F238E27FC236}">
              <a16:creationId xmlns:a16="http://schemas.microsoft.com/office/drawing/2014/main" id="{A621A481-DF3F-B2A0-C99C-FE6A20A89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237572</xdr:colOff>
      <xdr:row>46</xdr:row>
      <xdr:rowOff>49899</xdr:rowOff>
    </xdr:from>
    <xdr:to>
      <xdr:col>17</xdr:col>
      <xdr:colOff>115652</xdr:colOff>
      <xdr:row>61</xdr:row>
      <xdr:rowOff>161004</xdr:rowOff>
    </xdr:to>
    <xdr:graphicFrame macro="">
      <xdr:nvGraphicFramePr>
        <xdr:cNvPr id="4" name="Chart 3">
          <a:extLst>
            <a:ext uri="{FF2B5EF4-FFF2-40B4-BE49-F238E27FC236}">
              <a16:creationId xmlns:a16="http://schemas.microsoft.com/office/drawing/2014/main" id="{1519220B-A760-5120-8CCA-F45614A9E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196645</xdr:colOff>
      <xdr:row>27</xdr:row>
      <xdr:rowOff>24581</xdr:rowOff>
    </xdr:from>
    <xdr:to>
      <xdr:col>4</xdr:col>
      <xdr:colOff>177800</xdr:colOff>
      <xdr:row>30</xdr:row>
      <xdr:rowOff>0</xdr:rowOff>
    </xdr:to>
    <xdr:sp macro="" textlink="">
      <xdr:nvSpPr>
        <xdr:cNvPr id="15" name="Rectangle 14">
          <a:extLst>
            <a:ext uri="{FF2B5EF4-FFF2-40B4-BE49-F238E27FC236}">
              <a16:creationId xmlns:a16="http://schemas.microsoft.com/office/drawing/2014/main" id="{2B333EEA-EDBF-F2D5-0036-9017C1331641}"/>
            </a:ext>
          </a:extLst>
        </xdr:cNvPr>
        <xdr:cNvSpPr/>
      </xdr:nvSpPr>
      <xdr:spPr>
        <a:xfrm>
          <a:off x="196645" y="4825181"/>
          <a:ext cx="5378655" cy="508819"/>
        </a:xfrm>
        <a:prstGeom prst="rect">
          <a:avLst/>
        </a:prstGeom>
        <a:solidFill>
          <a:schemeClr val="bg2">
            <a:lumMod val="90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210973</xdr:colOff>
      <xdr:row>27</xdr:row>
      <xdr:rowOff>27283</xdr:rowOff>
    </xdr:from>
    <xdr:to>
      <xdr:col>4</xdr:col>
      <xdr:colOff>190500</xdr:colOff>
      <xdr:row>38</xdr:row>
      <xdr:rowOff>0</xdr:rowOff>
    </xdr:to>
    <xdr:sp macro="" textlink="">
      <xdr:nvSpPr>
        <xdr:cNvPr id="47" name="Rectangle 46">
          <a:extLst>
            <a:ext uri="{FF2B5EF4-FFF2-40B4-BE49-F238E27FC236}">
              <a16:creationId xmlns:a16="http://schemas.microsoft.com/office/drawing/2014/main" id="{FC8EE810-8D72-F37D-5240-32D05FCB6BAE}"/>
            </a:ext>
          </a:extLst>
        </xdr:cNvPr>
        <xdr:cNvSpPr/>
      </xdr:nvSpPr>
      <xdr:spPr>
        <a:xfrm>
          <a:off x="210973" y="4827883"/>
          <a:ext cx="5377027" cy="2207917"/>
        </a:xfrm>
        <a:prstGeom prst="rect">
          <a:avLst/>
        </a:prstGeom>
        <a:noFill/>
        <a:ln w="9525">
          <a:solidFill>
            <a:schemeClr val="tx1"/>
          </a:solidFill>
        </a:ln>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r"/>
          <a:endParaRPr lang="en-US" sz="2000" b="0">
            <a:solidFill>
              <a:schemeClr val="tx1"/>
            </a:solidFill>
          </a:endParaRPr>
        </a:p>
      </xdr:txBody>
    </xdr:sp>
    <xdr:clientData/>
  </xdr:twoCellAnchor>
  <xdr:twoCellAnchor>
    <xdr:from>
      <xdr:col>0</xdr:col>
      <xdr:colOff>248093</xdr:colOff>
      <xdr:row>0</xdr:row>
      <xdr:rowOff>122437</xdr:rowOff>
    </xdr:from>
    <xdr:to>
      <xdr:col>20</xdr:col>
      <xdr:colOff>350670</xdr:colOff>
      <xdr:row>6</xdr:row>
      <xdr:rowOff>143471</xdr:rowOff>
    </xdr:to>
    <xdr:sp macro="" textlink="">
      <xdr:nvSpPr>
        <xdr:cNvPr id="2" name="Rectangle: Rounded Corners 1">
          <a:extLst>
            <a:ext uri="{FF2B5EF4-FFF2-40B4-BE49-F238E27FC236}">
              <a16:creationId xmlns:a16="http://schemas.microsoft.com/office/drawing/2014/main" id="{4BBF7A8D-89E3-E5DD-39E1-1BE1DB29DC9C}"/>
            </a:ext>
          </a:extLst>
        </xdr:cNvPr>
        <xdr:cNvSpPr/>
      </xdr:nvSpPr>
      <xdr:spPr>
        <a:xfrm>
          <a:off x="248093" y="122437"/>
          <a:ext cx="12152810" cy="108429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4400" b="1">
              <a:solidFill>
                <a:schemeClr val="tx1"/>
              </a:solidFill>
              <a:latin typeface="Amasis MT Pro Medium" panose="02040604050005020304" pitchFamily="18" charset="0"/>
              <a:ea typeface="ADLaM Display" panose="02010000000000000000" pitchFamily="2" charset="0"/>
              <a:cs typeface="ADLaM Display" panose="02010000000000000000" pitchFamily="2" charset="0"/>
            </a:rPr>
            <a:t>Student Performance &amp; </a:t>
          </a:r>
          <a:r>
            <a:rPr lang="en-US" sz="4400" b="1">
              <a:solidFill>
                <a:schemeClr val="tx1"/>
              </a:solidFill>
              <a:latin typeface="Amasis MT Pro Medium" panose="02040604050005020304" pitchFamily="18" charset="0"/>
              <a:ea typeface="ADLaM Display" panose="02010000000000000000" pitchFamily="2" charset="0"/>
              <a:cs typeface="Aharoni" panose="020F0502020204030204" pitchFamily="2" charset="-79"/>
            </a:rPr>
            <a:t>Demographics</a:t>
          </a:r>
          <a:r>
            <a:rPr lang="en-US" sz="4400" b="1">
              <a:solidFill>
                <a:schemeClr val="tx1"/>
              </a:solidFill>
              <a:latin typeface="Amasis MT Pro Medium" panose="02040604050005020304" pitchFamily="18" charset="0"/>
              <a:ea typeface="ADLaM Display" panose="02010000000000000000" pitchFamily="2" charset="0"/>
              <a:cs typeface="ADLaM Display" panose="02010000000000000000" pitchFamily="2" charset="0"/>
            </a:rPr>
            <a:t> Analytics</a:t>
          </a:r>
          <a:endParaRPr lang="en-US" sz="4400">
            <a:solidFill>
              <a:schemeClr val="tx1"/>
            </a:solidFill>
            <a:latin typeface="Amasis MT Pro Medium" panose="02040604050005020304" pitchFamily="18" charset="0"/>
            <a:ea typeface="ADLaM Display" panose="02010000000000000000" pitchFamily="2" charset="0"/>
            <a:cs typeface="ADLaM Display" panose="02010000000000000000" pitchFamily="2" charset="0"/>
          </a:endParaRPr>
        </a:p>
        <a:p>
          <a:pPr algn="l"/>
          <a:endParaRPr lang="en-US" sz="4400">
            <a:solidFill>
              <a:schemeClr val="tx1"/>
            </a:solidFill>
            <a:latin typeface="Amasis MT Pro Medium" panose="02040604050005020304" pitchFamily="18" charset="0"/>
          </a:endParaRPr>
        </a:p>
      </xdr:txBody>
    </xdr:sp>
    <xdr:clientData/>
  </xdr:twoCellAnchor>
  <xdr:twoCellAnchor>
    <xdr:from>
      <xdr:col>4</xdr:col>
      <xdr:colOff>425825</xdr:colOff>
      <xdr:row>14</xdr:row>
      <xdr:rowOff>0</xdr:rowOff>
    </xdr:from>
    <xdr:to>
      <xdr:col>17</xdr:col>
      <xdr:colOff>73270</xdr:colOff>
      <xdr:row>38</xdr:row>
      <xdr:rowOff>58615</xdr:rowOff>
    </xdr:to>
    <xdr:graphicFrame macro="">
      <xdr:nvGraphicFramePr>
        <xdr:cNvPr id="31" name="Chart 30">
          <a:extLst>
            <a:ext uri="{FF2B5EF4-FFF2-40B4-BE49-F238E27FC236}">
              <a16:creationId xmlns:a16="http://schemas.microsoft.com/office/drawing/2014/main" id="{DFC50D26-A6EF-4F02-9A1A-A7387BA75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253997</xdr:colOff>
      <xdr:row>14</xdr:row>
      <xdr:rowOff>70413</xdr:rowOff>
    </xdr:from>
    <xdr:to>
      <xdr:col>30</xdr:col>
      <xdr:colOff>649940</xdr:colOff>
      <xdr:row>38</xdr:row>
      <xdr:rowOff>58614</xdr:rowOff>
    </xdr:to>
    <xdr:graphicFrame macro="">
      <xdr:nvGraphicFramePr>
        <xdr:cNvPr id="32" name="Chart 31">
          <a:extLst>
            <a:ext uri="{FF2B5EF4-FFF2-40B4-BE49-F238E27FC236}">
              <a16:creationId xmlns:a16="http://schemas.microsoft.com/office/drawing/2014/main" id="{115C0106-CA35-492F-8ADC-E299C2A56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74129</xdr:colOff>
      <xdr:row>5</xdr:row>
      <xdr:rowOff>160847</xdr:rowOff>
    </xdr:from>
    <xdr:to>
      <xdr:col>15</xdr:col>
      <xdr:colOff>453405</xdr:colOff>
      <xdr:row>12</xdr:row>
      <xdr:rowOff>131021</xdr:rowOff>
    </xdr:to>
    <xdr:sp macro="" textlink="">
      <xdr:nvSpPr>
        <xdr:cNvPr id="39" name="Rectangle: Rounded Corners 38">
          <a:extLst>
            <a:ext uri="{FF2B5EF4-FFF2-40B4-BE49-F238E27FC236}">
              <a16:creationId xmlns:a16="http://schemas.microsoft.com/office/drawing/2014/main" id="{BE2EC0DF-C8E4-4915-B35D-3D91BA603401}"/>
            </a:ext>
          </a:extLst>
        </xdr:cNvPr>
        <xdr:cNvSpPr/>
      </xdr:nvSpPr>
      <xdr:spPr>
        <a:xfrm>
          <a:off x="9509482" y="1057318"/>
          <a:ext cx="3741041" cy="1225232"/>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US" sz="2800"/>
            <a:t>Avg.</a:t>
          </a:r>
          <a:r>
            <a:rPr lang="en-US" sz="2800" baseline="0"/>
            <a:t> Attendance</a:t>
          </a:r>
          <a:endParaRPr lang="en-US" sz="2800"/>
        </a:p>
      </xdr:txBody>
    </xdr:sp>
    <xdr:clientData/>
  </xdr:twoCellAnchor>
  <xdr:twoCellAnchor>
    <xdr:from>
      <xdr:col>3</xdr:col>
      <xdr:colOff>356691</xdr:colOff>
      <xdr:row>6</xdr:row>
      <xdr:rowOff>9826</xdr:rowOff>
    </xdr:from>
    <xdr:to>
      <xdr:col>9</xdr:col>
      <xdr:colOff>63615</xdr:colOff>
      <xdr:row>12</xdr:row>
      <xdr:rowOff>162743</xdr:rowOff>
    </xdr:to>
    <xdr:sp macro="" textlink="">
      <xdr:nvSpPr>
        <xdr:cNvPr id="40" name="Rectangle: Rounded Corners 39">
          <a:extLst>
            <a:ext uri="{FF2B5EF4-FFF2-40B4-BE49-F238E27FC236}">
              <a16:creationId xmlns:a16="http://schemas.microsoft.com/office/drawing/2014/main" id="{C6323F18-6770-4FDF-A245-42F5BDF717EF}"/>
            </a:ext>
          </a:extLst>
        </xdr:cNvPr>
        <xdr:cNvSpPr/>
      </xdr:nvSpPr>
      <xdr:spPr>
        <a:xfrm>
          <a:off x="5085573" y="1085591"/>
          <a:ext cx="3741042" cy="1228681"/>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US" sz="2800"/>
            <a:t>Average GPA</a:t>
          </a:r>
        </a:p>
      </xdr:txBody>
    </xdr:sp>
    <xdr:clientData/>
  </xdr:twoCellAnchor>
  <xdr:twoCellAnchor>
    <xdr:from>
      <xdr:col>0</xdr:col>
      <xdr:colOff>571155</xdr:colOff>
      <xdr:row>6</xdr:row>
      <xdr:rowOff>38098</xdr:rowOff>
    </xdr:from>
    <xdr:to>
      <xdr:col>2</xdr:col>
      <xdr:colOff>425824</xdr:colOff>
      <xdr:row>13</xdr:row>
      <xdr:rowOff>11720</xdr:rowOff>
    </xdr:to>
    <xdr:sp macro="" textlink="">
      <xdr:nvSpPr>
        <xdr:cNvPr id="41" name="Rectangle: Rounded Corners 40">
          <a:extLst>
            <a:ext uri="{FF2B5EF4-FFF2-40B4-BE49-F238E27FC236}">
              <a16:creationId xmlns:a16="http://schemas.microsoft.com/office/drawing/2014/main" id="{097225AB-7930-4FA8-A404-CB1D12DF386C}"/>
            </a:ext>
          </a:extLst>
        </xdr:cNvPr>
        <xdr:cNvSpPr/>
      </xdr:nvSpPr>
      <xdr:spPr>
        <a:xfrm>
          <a:off x="571155" y="1113863"/>
          <a:ext cx="3911198" cy="1228681"/>
        </a:xfrm>
        <a:prstGeom prst="round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US" sz="2800"/>
            <a:t>Total Students</a:t>
          </a:r>
        </a:p>
      </xdr:txBody>
    </xdr:sp>
    <xdr:clientData/>
  </xdr:twoCellAnchor>
  <xdr:twoCellAnchor>
    <xdr:from>
      <xdr:col>1</xdr:col>
      <xdr:colOff>958163</xdr:colOff>
      <xdr:row>9</xdr:row>
      <xdr:rowOff>87202</xdr:rowOff>
    </xdr:from>
    <xdr:to>
      <xdr:col>1</xdr:col>
      <xdr:colOff>2481674</xdr:colOff>
      <xdr:row>12</xdr:row>
      <xdr:rowOff>37067</xdr:rowOff>
    </xdr:to>
    <xdr:sp macro="" textlink="Pivot_Table!A4">
      <xdr:nvSpPr>
        <xdr:cNvPr id="9" name="Rectangle 8">
          <a:extLst>
            <a:ext uri="{FF2B5EF4-FFF2-40B4-BE49-F238E27FC236}">
              <a16:creationId xmlns:a16="http://schemas.microsoft.com/office/drawing/2014/main" id="{C5B15585-8B69-5B4E-D4E1-6812B8BCB7C0}"/>
            </a:ext>
          </a:extLst>
        </xdr:cNvPr>
        <xdr:cNvSpPr/>
      </xdr:nvSpPr>
      <xdr:spPr>
        <a:xfrm>
          <a:off x="1630516" y="1700849"/>
          <a:ext cx="1523511" cy="487747"/>
        </a:xfrm>
        <a:prstGeom prst="rect">
          <a:avLst/>
        </a:prstGeom>
        <a:solidFill>
          <a:schemeClr val="bg2"/>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BBD0F91F-8CEA-4E96-B428-A45BC77CACA2}" type="TxLink">
            <a:rPr lang="en-US" sz="2400" b="0" i="0" u="none" strike="noStrike">
              <a:solidFill>
                <a:srgbClr val="000000"/>
              </a:solidFill>
              <a:latin typeface="Aptos Narrow"/>
            </a:rPr>
            <a:pPr algn="ctr"/>
            <a:t>200</a:t>
          </a:fld>
          <a:endParaRPr lang="en-US" sz="2400"/>
        </a:p>
      </xdr:txBody>
    </xdr:sp>
    <xdr:clientData/>
  </xdr:twoCellAnchor>
  <xdr:twoCellAnchor editAs="oneCell">
    <xdr:from>
      <xdr:col>1</xdr:col>
      <xdr:colOff>88587</xdr:colOff>
      <xdr:row>8</xdr:row>
      <xdr:rowOff>34829</xdr:rowOff>
    </xdr:from>
    <xdr:to>
      <xdr:col>1</xdr:col>
      <xdr:colOff>864364</xdr:colOff>
      <xdr:row>12</xdr:row>
      <xdr:rowOff>102576</xdr:rowOff>
    </xdr:to>
    <xdr:pic>
      <xdr:nvPicPr>
        <xdr:cNvPr id="30" name="Graphic 29" descr="Users outline">
          <a:extLst>
            <a:ext uri="{FF2B5EF4-FFF2-40B4-BE49-F238E27FC236}">
              <a16:creationId xmlns:a16="http://schemas.microsoft.com/office/drawing/2014/main" id="{C84FC624-E013-1FE3-E8EF-D7D40C8067E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0940" y="1469182"/>
          <a:ext cx="775777" cy="784923"/>
        </a:xfrm>
        <a:prstGeom prst="rect">
          <a:avLst/>
        </a:prstGeom>
      </xdr:spPr>
    </xdr:pic>
    <xdr:clientData/>
  </xdr:twoCellAnchor>
  <xdr:twoCellAnchor>
    <xdr:from>
      <xdr:col>5</xdr:col>
      <xdr:colOff>131248</xdr:colOff>
      <xdr:row>9</xdr:row>
      <xdr:rowOff>60170</xdr:rowOff>
    </xdr:from>
    <xdr:to>
      <xdr:col>7</xdr:col>
      <xdr:colOff>312903</xdr:colOff>
      <xdr:row>12</xdr:row>
      <xdr:rowOff>37064</xdr:rowOff>
    </xdr:to>
    <xdr:sp macro="" textlink="Pivot_Table!A12">
      <xdr:nvSpPr>
        <xdr:cNvPr id="13" name="Rectangle 12">
          <a:extLst>
            <a:ext uri="{FF2B5EF4-FFF2-40B4-BE49-F238E27FC236}">
              <a16:creationId xmlns:a16="http://schemas.microsoft.com/office/drawing/2014/main" id="{D4C4FB76-D847-4018-8F7C-B02E44CB99A1}"/>
            </a:ext>
          </a:extLst>
        </xdr:cNvPr>
        <xdr:cNvSpPr/>
      </xdr:nvSpPr>
      <xdr:spPr>
        <a:xfrm>
          <a:off x="6204836" y="1673817"/>
          <a:ext cx="1526361" cy="514776"/>
        </a:xfrm>
        <a:prstGeom prst="rect">
          <a:avLst/>
        </a:prstGeom>
        <a:solidFill>
          <a:schemeClr val="bg2"/>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E3FCC0F1-4D0D-4C5C-993D-C5C0597FE166}" type="TxLink">
            <a:rPr lang="en-US" sz="2400" b="0" i="0" u="none" strike="noStrike">
              <a:solidFill>
                <a:srgbClr val="000000"/>
              </a:solidFill>
              <a:latin typeface="Aptos Narrow"/>
            </a:rPr>
            <a:pPr algn="ctr"/>
            <a:t>3.0</a:t>
          </a:fld>
          <a:endParaRPr lang="en-US" sz="2400"/>
        </a:p>
      </xdr:txBody>
    </xdr:sp>
    <xdr:clientData/>
  </xdr:twoCellAnchor>
  <xdr:twoCellAnchor editAs="oneCell">
    <xdr:from>
      <xdr:col>3</xdr:col>
      <xdr:colOff>510404</xdr:colOff>
      <xdr:row>7</xdr:row>
      <xdr:rowOff>176674</xdr:rowOff>
    </xdr:from>
    <xdr:to>
      <xdr:col>5</xdr:col>
      <xdr:colOff>34023</xdr:colOff>
      <xdr:row>12</xdr:row>
      <xdr:rowOff>124126</xdr:rowOff>
    </xdr:to>
    <xdr:pic>
      <xdr:nvPicPr>
        <xdr:cNvPr id="28" name="Graphic 27" descr="Graduation cap outline">
          <a:extLst>
            <a:ext uri="{FF2B5EF4-FFF2-40B4-BE49-F238E27FC236}">
              <a16:creationId xmlns:a16="http://schemas.microsoft.com/office/drawing/2014/main" id="{5FE3698C-1BCD-731E-A5E9-3479B4EAA90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39286" y="1431733"/>
          <a:ext cx="868325" cy="843922"/>
        </a:xfrm>
        <a:prstGeom prst="rect">
          <a:avLst/>
        </a:prstGeom>
      </xdr:spPr>
    </xdr:pic>
    <xdr:clientData/>
  </xdr:twoCellAnchor>
  <xdr:twoCellAnchor>
    <xdr:from>
      <xdr:col>11</xdr:col>
      <xdr:colOff>393062</xdr:colOff>
      <xdr:row>9</xdr:row>
      <xdr:rowOff>49010</xdr:rowOff>
    </xdr:from>
    <xdr:to>
      <xdr:col>13</xdr:col>
      <xdr:colOff>562880</xdr:colOff>
      <xdr:row>12</xdr:row>
      <xdr:rowOff>24420</xdr:rowOff>
    </xdr:to>
    <xdr:sp macro="" textlink="Pivot_Table!A8">
      <xdr:nvSpPr>
        <xdr:cNvPr id="16" name="Rectangle 15">
          <a:extLst>
            <a:ext uri="{FF2B5EF4-FFF2-40B4-BE49-F238E27FC236}">
              <a16:creationId xmlns:a16="http://schemas.microsoft.com/office/drawing/2014/main" id="{B4FFEDCE-AB78-4EFE-9649-08CDA1A6B622}"/>
            </a:ext>
          </a:extLst>
        </xdr:cNvPr>
        <xdr:cNvSpPr/>
      </xdr:nvSpPr>
      <xdr:spPr>
        <a:xfrm>
          <a:off x="10500768" y="1662657"/>
          <a:ext cx="1514524" cy="513292"/>
        </a:xfrm>
        <a:prstGeom prst="rect">
          <a:avLst/>
        </a:prstGeom>
        <a:solidFill>
          <a:schemeClr val="bg2"/>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95A43519-933D-4A71-8B21-254106FD0D75}" type="TxLink">
            <a:rPr lang="en-US" sz="2400" b="0" i="0" u="none" strike="noStrike">
              <a:solidFill>
                <a:srgbClr val="000000"/>
              </a:solidFill>
              <a:latin typeface="Aptos Narrow"/>
            </a:rPr>
            <a:pPr algn="ctr"/>
            <a:t>80.0</a:t>
          </a:fld>
          <a:endParaRPr lang="en-US" sz="2400"/>
        </a:p>
      </xdr:txBody>
    </xdr:sp>
    <xdr:clientData/>
  </xdr:twoCellAnchor>
  <xdr:twoCellAnchor editAs="oneCell">
    <xdr:from>
      <xdr:col>0</xdr:col>
      <xdr:colOff>179295</xdr:colOff>
      <xdr:row>13</xdr:row>
      <xdr:rowOff>156882</xdr:rowOff>
    </xdr:from>
    <xdr:to>
      <xdr:col>4</xdr:col>
      <xdr:colOff>179294</xdr:colOff>
      <xdr:row>26</xdr:row>
      <xdr:rowOff>67236</xdr:rowOff>
    </xdr:to>
    <mc:AlternateContent xmlns:mc="http://schemas.openxmlformats.org/markup-compatibility/2006" xmlns:a14="http://schemas.microsoft.com/office/drawing/2010/main">
      <mc:Choice Requires="a14">
        <xdr:graphicFrame macro="">
          <xdr:nvGraphicFramePr>
            <xdr:cNvPr id="45" name="Department 1">
              <a:extLst>
                <a:ext uri="{FF2B5EF4-FFF2-40B4-BE49-F238E27FC236}">
                  <a16:creationId xmlns:a16="http://schemas.microsoft.com/office/drawing/2014/main" id="{589405BD-8F9F-4238-A08A-DD2D5753C60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9295" y="2487706"/>
              <a:ext cx="5401234" cy="22411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745614</xdr:colOff>
      <xdr:row>27</xdr:row>
      <xdr:rowOff>67831</xdr:rowOff>
    </xdr:from>
    <xdr:ext cx="2330174" cy="427489"/>
    <xdr:sp macro="" textlink="">
      <xdr:nvSpPr>
        <xdr:cNvPr id="48" name="TextBox 47">
          <a:extLst>
            <a:ext uri="{FF2B5EF4-FFF2-40B4-BE49-F238E27FC236}">
              <a16:creationId xmlns:a16="http://schemas.microsoft.com/office/drawing/2014/main" id="{C543CB95-A030-360C-66B3-64913B71C96A}"/>
            </a:ext>
          </a:extLst>
        </xdr:cNvPr>
        <xdr:cNvSpPr txBox="1"/>
      </xdr:nvSpPr>
      <xdr:spPr>
        <a:xfrm>
          <a:off x="1422947" y="4639831"/>
          <a:ext cx="2330174" cy="4274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US" sz="2400" b="1">
              <a:solidFill>
                <a:schemeClr val="tx1"/>
              </a:solidFill>
            </a:rPr>
            <a:t>Student Lookup:</a:t>
          </a:r>
        </a:p>
      </xdr:txBody>
    </xdr:sp>
    <xdr:clientData/>
  </xdr:oneCellAnchor>
  <xdr:twoCellAnchor>
    <xdr:from>
      <xdr:col>0</xdr:col>
      <xdr:colOff>237335</xdr:colOff>
      <xdr:row>39</xdr:row>
      <xdr:rowOff>74341</xdr:rowOff>
    </xdr:from>
    <xdr:to>
      <xdr:col>9</xdr:col>
      <xdr:colOff>552499</xdr:colOff>
      <xdr:row>79</xdr:row>
      <xdr:rowOff>67236</xdr:rowOff>
    </xdr:to>
    <xdr:graphicFrame macro="">
      <xdr:nvGraphicFramePr>
        <xdr:cNvPr id="55" name="Chart 54">
          <a:extLst>
            <a:ext uri="{FF2B5EF4-FFF2-40B4-BE49-F238E27FC236}">
              <a16:creationId xmlns:a16="http://schemas.microsoft.com/office/drawing/2014/main" id="{6BD95ECC-8FDA-42CB-8B9E-963B6E978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458062</xdr:colOff>
      <xdr:row>27</xdr:row>
      <xdr:rowOff>142054</xdr:rowOff>
    </xdr:from>
    <xdr:to>
      <xdr:col>4</xdr:col>
      <xdr:colOff>81432</xdr:colOff>
      <xdr:row>29</xdr:row>
      <xdr:rowOff>79936</xdr:rowOff>
    </xdr:to>
    <xdr:pic>
      <xdr:nvPicPr>
        <xdr:cNvPr id="3074" name="Graphic 3073" descr="Close with solid fill">
          <a:extLst>
            <a:ext uri="{FF2B5EF4-FFF2-40B4-BE49-F238E27FC236}">
              <a16:creationId xmlns:a16="http://schemas.microsoft.com/office/drawing/2014/main" id="{0909E418-6C9E-9E00-910C-48F829DAFB7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182462" y="4942654"/>
          <a:ext cx="296470" cy="293482"/>
        </a:xfrm>
        <a:prstGeom prst="rect">
          <a:avLst/>
        </a:prstGeom>
      </xdr:spPr>
    </xdr:pic>
    <xdr:clientData/>
  </xdr:twoCellAnchor>
  <xdr:twoCellAnchor editAs="oneCell">
    <xdr:from>
      <xdr:col>10</xdr:col>
      <xdr:colOff>256945</xdr:colOff>
      <xdr:row>8</xdr:row>
      <xdr:rowOff>93177</xdr:rowOff>
    </xdr:from>
    <xdr:to>
      <xdr:col>11</xdr:col>
      <xdr:colOff>268941</xdr:colOff>
      <xdr:row>12</xdr:row>
      <xdr:rowOff>60350</xdr:rowOff>
    </xdr:to>
    <xdr:pic>
      <xdr:nvPicPr>
        <xdr:cNvPr id="3076" name="Graphic 3075" descr="Crop with solid fill">
          <a:extLst>
            <a:ext uri="{FF2B5EF4-FFF2-40B4-BE49-F238E27FC236}">
              <a16:creationId xmlns:a16="http://schemas.microsoft.com/office/drawing/2014/main" id="{FE3B084A-83CC-A888-A340-886E2B051A2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692298" y="1527530"/>
          <a:ext cx="684349" cy="684349"/>
        </a:xfrm>
        <a:prstGeom prst="rect">
          <a:avLst/>
        </a:prstGeom>
      </xdr:spPr>
    </xdr:pic>
    <xdr:clientData/>
  </xdr:twoCellAnchor>
  <xdr:twoCellAnchor editAs="oneCell">
    <xdr:from>
      <xdr:col>2</xdr:col>
      <xdr:colOff>284470</xdr:colOff>
      <xdr:row>31</xdr:row>
      <xdr:rowOff>105175</xdr:rowOff>
    </xdr:from>
    <xdr:to>
      <xdr:col>3</xdr:col>
      <xdr:colOff>526517</xdr:colOff>
      <xdr:row>35</xdr:row>
      <xdr:rowOff>33458</xdr:rowOff>
    </xdr:to>
    <xdr:pic>
      <xdr:nvPicPr>
        <xdr:cNvPr id="6" name="Graphic 5" descr="Folder Search outline">
          <a:extLst>
            <a:ext uri="{FF2B5EF4-FFF2-40B4-BE49-F238E27FC236}">
              <a16:creationId xmlns:a16="http://schemas.microsoft.com/office/drawing/2014/main" id="{D575DE23-F856-A067-E91C-1A1F8022850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340999" y="5663293"/>
          <a:ext cx="914400" cy="914400"/>
        </a:xfrm>
        <a:prstGeom prst="rect">
          <a:avLst/>
        </a:prstGeom>
      </xdr:spPr>
    </xdr:pic>
    <xdr:clientData/>
  </xdr:twoCellAnchor>
  <xdr:twoCellAnchor>
    <xdr:from>
      <xdr:col>10</xdr:col>
      <xdr:colOff>73740</xdr:colOff>
      <xdr:row>39</xdr:row>
      <xdr:rowOff>122902</xdr:rowOff>
    </xdr:from>
    <xdr:to>
      <xdr:col>30</xdr:col>
      <xdr:colOff>605116</xdr:colOff>
      <xdr:row>79</xdr:row>
      <xdr:rowOff>89648</xdr:rowOff>
    </xdr:to>
    <xdr:graphicFrame macro="">
      <xdr:nvGraphicFramePr>
        <xdr:cNvPr id="14" name="Chart 13">
          <a:extLst>
            <a:ext uri="{FF2B5EF4-FFF2-40B4-BE49-F238E27FC236}">
              <a16:creationId xmlns:a16="http://schemas.microsoft.com/office/drawing/2014/main" id="{3277FDEC-58F5-4BCE-87F9-9CCEAC19C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15</xdr:col>
      <xdr:colOff>571113</xdr:colOff>
      <xdr:row>40</xdr:row>
      <xdr:rowOff>98323</xdr:rowOff>
    </xdr:from>
    <xdr:ext cx="5401984" cy="343940"/>
    <xdr:sp macro="" textlink="">
      <xdr:nvSpPr>
        <xdr:cNvPr id="46" name="TextBox 45">
          <a:extLst>
            <a:ext uri="{FF2B5EF4-FFF2-40B4-BE49-F238E27FC236}">
              <a16:creationId xmlns:a16="http://schemas.microsoft.com/office/drawing/2014/main" id="{86EA207C-B0CB-0787-2591-4F4A1411F81B}"/>
            </a:ext>
          </a:extLst>
        </xdr:cNvPr>
        <xdr:cNvSpPr txBox="1"/>
      </xdr:nvSpPr>
      <xdr:spPr>
        <a:xfrm>
          <a:off x="13254726" y="7275871"/>
          <a:ext cx="5401984" cy="343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rtl="0">
            <a:defRPr sz="1600" b="1" i="0" u="none" strike="noStrike" kern="1200" cap="all" spc="120" normalizeH="0" baseline="0">
              <a:solidFill>
                <a:sysClr val="windowText" lastClr="000000">
                  <a:lumMod val="65000"/>
                  <a:lumOff val="35000"/>
                </a:sysClr>
              </a:solidFill>
              <a:latin typeface="+mn-lt"/>
              <a:ea typeface="+mn-ea"/>
              <a:cs typeface="+mn-cs"/>
            </a:defRPr>
          </a:pPr>
          <a:r>
            <a:rPr lang="en-US" sz="1600" b="1" i="0" u="none" strike="noStrike" kern="1200" cap="all" spc="120" normalizeH="0" baseline="0">
              <a:solidFill>
                <a:schemeClr val="tx1">
                  <a:lumMod val="95000"/>
                  <a:lumOff val="5000"/>
                </a:schemeClr>
              </a:solidFill>
              <a:latin typeface="+mn-lt"/>
              <a:ea typeface="+mn-ea"/>
              <a:cs typeface="+mn-cs"/>
            </a:rPr>
            <a:t>Student Age Range vs. Graduation Year</a:t>
          </a:r>
        </a:p>
      </xdr:txBody>
    </xdr:sp>
    <xdr:clientData/>
  </xdr:oneCellAnchor>
  <xdr:twoCellAnchor>
    <xdr:from>
      <xdr:col>31</xdr:col>
      <xdr:colOff>271832</xdr:colOff>
      <xdr:row>7</xdr:row>
      <xdr:rowOff>94616</xdr:rowOff>
    </xdr:from>
    <xdr:to>
      <xdr:col>42</xdr:col>
      <xdr:colOff>227009</xdr:colOff>
      <xdr:row>82</xdr:row>
      <xdr:rowOff>134470</xdr:rowOff>
    </xdr:to>
    <xdr:sp macro="" textlink="">
      <xdr:nvSpPr>
        <xdr:cNvPr id="18" name="Rectangle: Rounded Corners 17">
          <a:extLst>
            <a:ext uri="{FF2B5EF4-FFF2-40B4-BE49-F238E27FC236}">
              <a16:creationId xmlns:a16="http://schemas.microsoft.com/office/drawing/2014/main" id="{58763287-0D75-DE5A-2458-4E9546027C36}"/>
            </a:ext>
          </a:extLst>
        </xdr:cNvPr>
        <xdr:cNvSpPr/>
      </xdr:nvSpPr>
      <xdr:spPr>
        <a:xfrm>
          <a:off x="23826597" y="1349675"/>
          <a:ext cx="7351059" cy="13755854"/>
        </a:xfrm>
        <a:prstGeom prst="roundRect">
          <a:avLst/>
        </a:prstGeom>
        <a:solidFill>
          <a:schemeClr val="accent6">
            <a:lumMod val="75000"/>
          </a:schemeClr>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224117</xdr:colOff>
      <xdr:row>16</xdr:row>
      <xdr:rowOff>67235</xdr:rowOff>
    </xdr:from>
    <xdr:to>
      <xdr:col>37</xdr:col>
      <xdr:colOff>224118</xdr:colOff>
      <xdr:row>21</xdr:row>
      <xdr:rowOff>112059</xdr:rowOff>
    </xdr:to>
    <xdr:sp macro="" textlink="Pivot_Table!A66">
      <xdr:nvSpPr>
        <xdr:cNvPr id="60" name="TextBox 59">
          <a:extLst>
            <a:ext uri="{FF2B5EF4-FFF2-40B4-BE49-F238E27FC236}">
              <a16:creationId xmlns:a16="http://schemas.microsoft.com/office/drawing/2014/main" id="{92E432DC-9589-41E4-4EF3-AD2B5AE3ED49}"/>
            </a:ext>
          </a:extLst>
        </xdr:cNvPr>
        <xdr:cNvSpPr txBox="1"/>
      </xdr:nvSpPr>
      <xdr:spPr>
        <a:xfrm>
          <a:off x="24451235" y="2935941"/>
          <a:ext cx="3361765" cy="941294"/>
        </a:xfrm>
        <a:prstGeom prst="rect">
          <a:avLst/>
        </a:prstGeom>
        <a:noFill/>
        <a:ln w="9525">
          <a:noFill/>
          <a:miter lim="800000"/>
          <a:headEnd/>
          <a:tailEnd/>
        </a:ln>
      </xdr:spPr>
      <xdr:txBody>
        <a:bodyPr vertOverflow="clip" wrap="square" lIns="18288" tIns="18288" rIns="0" bIns="0" anchor="ctr" upright="1"/>
        <a:lstStyle/>
        <a:p>
          <a:pPr marL="0" indent="0" algn="l" rtl="0">
            <a:lnSpc>
              <a:spcPts val="900"/>
            </a:lnSpc>
            <a:defRPr sz="1000"/>
          </a:pPr>
          <a:fld id="{73413601-57F4-4A3C-94F2-E295924F6C9F}" type="TxLink">
            <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rPr>
            <a:pPr marL="0" indent="0" algn="l" rtl="0">
              <a:lnSpc>
                <a:spcPts val="900"/>
              </a:lnSpc>
              <a:defRPr sz="1000"/>
            </a:pPr>
            <a:t>Peter Day</a:t>
          </a:fld>
          <a:endPar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endParaRPr>
        </a:p>
      </xdr:txBody>
    </xdr:sp>
    <xdr:clientData/>
  </xdr:twoCellAnchor>
  <xdr:twoCellAnchor>
    <xdr:from>
      <xdr:col>32</xdr:col>
      <xdr:colOff>174810</xdr:colOff>
      <xdr:row>22</xdr:row>
      <xdr:rowOff>40340</xdr:rowOff>
    </xdr:from>
    <xdr:to>
      <xdr:col>39</xdr:col>
      <xdr:colOff>268941</xdr:colOff>
      <xdr:row>27</xdr:row>
      <xdr:rowOff>85164</xdr:rowOff>
    </xdr:to>
    <xdr:sp macro="" textlink="Pivot_Table!A67">
      <xdr:nvSpPr>
        <xdr:cNvPr id="62" name="TextBox 61">
          <a:extLst>
            <a:ext uri="{FF2B5EF4-FFF2-40B4-BE49-F238E27FC236}">
              <a16:creationId xmlns:a16="http://schemas.microsoft.com/office/drawing/2014/main" id="{E560F6DD-A295-425F-AEB1-6CD7E80C1F3F}"/>
            </a:ext>
          </a:extLst>
        </xdr:cNvPr>
        <xdr:cNvSpPr txBox="1"/>
      </xdr:nvSpPr>
      <xdr:spPr>
        <a:xfrm>
          <a:off x="24401928" y="3984811"/>
          <a:ext cx="4800601" cy="941294"/>
        </a:xfrm>
        <a:prstGeom prst="rect">
          <a:avLst/>
        </a:prstGeom>
        <a:noFill/>
        <a:ln w="9525">
          <a:noFill/>
          <a:miter lim="800000"/>
          <a:headEnd/>
          <a:tailEnd/>
        </a:ln>
      </xdr:spPr>
      <xdr:txBody>
        <a:bodyPr vertOverflow="clip" wrap="square" lIns="18288" tIns="18288" rIns="0" bIns="0" anchor="ctr" upright="1"/>
        <a:lstStyle/>
        <a:p>
          <a:pPr marL="0" indent="0" algn="l" rtl="0">
            <a:lnSpc>
              <a:spcPts val="900"/>
            </a:lnSpc>
            <a:defRPr sz="1000"/>
          </a:pPr>
          <a:fld id="{2B3F825C-6F47-4DBC-AAFE-C9A4D370D88E}" type="TxLink">
            <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rPr>
            <a:pPr marL="0" indent="0" algn="l" rtl="0">
              <a:lnSpc>
                <a:spcPts val="900"/>
              </a:lnSpc>
              <a:defRPr sz="1000"/>
            </a:pPr>
            <a:t>Clinton Weber</a:t>
          </a:fld>
          <a:endPar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endParaRPr>
        </a:p>
      </xdr:txBody>
    </xdr:sp>
    <xdr:clientData/>
  </xdr:twoCellAnchor>
  <xdr:twoCellAnchor>
    <xdr:from>
      <xdr:col>32</xdr:col>
      <xdr:colOff>192740</xdr:colOff>
      <xdr:row>28</xdr:row>
      <xdr:rowOff>103093</xdr:rowOff>
    </xdr:from>
    <xdr:to>
      <xdr:col>39</xdr:col>
      <xdr:colOff>67235</xdr:colOff>
      <xdr:row>33</xdr:row>
      <xdr:rowOff>13446</xdr:rowOff>
    </xdr:to>
    <xdr:sp macro="" textlink="Pivot_Table!A68">
      <xdr:nvSpPr>
        <xdr:cNvPr id="2048" name="TextBox 2047">
          <a:extLst>
            <a:ext uri="{FF2B5EF4-FFF2-40B4-BE49-F238E27FC236}">
              <a16:creationId xmlns:a16="http://schemas.microsoft.com/office/drawing/2014/main" id="{5EFB2E68-4FD5-4B66-9334-CD6AF81C1923}"/>
            </a:ext>
          </a:extLst>
        </xdr:cNvPr>
        <xdr:cNvSpPr txBox="1"/>
      </xdr:nvSpPr>
      <xdr:spPr>
        <a:xfrm>
          <a:off x="24419858" y="5123328"/>
          <a:ext cx="4580965" cy="941294"/>
        </a:xfrm>
        <a:prstGeom prst="rect">
          <a:avLst/>
        </a:prstGeom>
        <a:noFill/>
        <a:ln w="9525">
          <a:noFill/>
          <a:miter lim="800000"/>
          <a:headEnd/>
          <a:tailEnd/>
        </a:ln>
      </xdr:spPr>
      <xdr:txBody>
        <a:bodyPr vertOverflow="clip" wrap="square" lIns="18288" tIns="18288" rIns="0" bIns="0" anchor="ctr" upright="1"/>
        <a:lstStyle/>
        <a:p>
          <a:pPr marL="0" indent="0" algn="l" rtl="0">
            <a:lnSpc>
              <a:spcPts val="900"/>
            </a:lnSpc>
            <a:defRPr sz="1000"/>
          </a:pPr>
          <a:fld id="{F97D4D0D-7869-48E8-BA86-1F99F6476E6A}" type="TxLink">
            <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rPr>
            <a:pPr marL="0" indent="0" algn="l" rtl="0">
              <a:lnSpc>
                <a:spcPts val="900"/>
              </a:lnSpc>
              <a:defRPr sz="1000"/>
            </a:pPr>
            <a:t>Kevin Bowman</a:t>
          </a:fld>
          <a:endPar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endParaRPr>
        </a:p>
      </xdr:txBody>
    </xdr:sp>
    <xdr:clientData/>
  </xdr:twoCellAnchor>
  <xdr:twoCellAnchor>
    <xdr:from>
      <xdr:col>32</xdr:col>
      <xdr:colOff>277906</xdr:colOff>
      <xdr:row>33</xdr:row>
      <xdr:rowOff>121023</xdr:rowOff>
    </xdr:from>
    <xdr:to>
      <xdr:col>37</xdr:col>
      <xdr:colOff>277907</xdr:colOff>
      <xdr:row>38</xdr:row>
      <xdr:rowOff>31375</xdr:rowOff>
    </xdr:to>
    <xdr:sp macro="" textlink="Pivot_Table!A69">
      <xdr:nvSpPr>
        <xdr:cNvPr id="2050" name="TextBox 2049">
          <a:extLst>
            <a:ext uri="{FF2B5EF4-FFF2-40B4-BE49-F238E27FC236}">
              <a16:creationId xmlns:a16="http://schemas.microsoft.com/office/drawing/2014/main" id="{BA728A46-C758-4320-AABD-FD0B09693904}"/>
            </a:ext>
          </a:extLst>
        </xdr:cNvPr>
        <xdr:cNvSpPr txBox="1"/>
      </xdr:nvSpPr>
      <xdr:spPr>
        <a:xfrm>
          <a:off x="24505024" y="6172199"/>
          <a:ext cx="3361765" cy="941294"/>
        </a:xfrm>
        <a:prstGeom prst="rect">
          <a:avLst/>
        </a:prstGeom>
        <a:noFill/>
        <a:ln w="9525">
          <a:noFill/>
          <a:miter lim="800000"/>
          <a:headEnd/>
          <a:tailEnd/>
        </a:ln>
      </xdr:spPr>
      <xdr:txBody>
        <a:bodyPr vertOverflow="clip" wrap="square" lIns="18288" tIns="18288" rIns="0" bIns="0" anchor="ctr" upright="1"/>
        <a:lstStyle/>
        <a:p>
          <a:pPr marL="0" indent="0" algn="l" rtl="0">
            <a:lnSpc>
              <a:spcPts val="900"/>
            </a:lnSpc>
            <a:defRPr sz="1000"/>
          </a:pPr>
          <a:fld id="{8506A2E6-ACB6-4113-9966-C9322D4F3EC0}" type="TxLink">
            <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rPr>
            <a:pPr marL="0" indent="0" algn="l" rtl="0">
              <a:lnSpc>
                <a:spcPts val="900"/>
              </a:lnSpc>
              <a:defRPr sz="1000"/>
            </a:pPr>
            <a:t>Sean Davis</a:t>
          </a:fld>
          <a:endPar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endParaRPr>
        </a:p>
      </xdr:txBody>
    </xdr:sp>
    <xdr:clientData/>
  </xdr:twoCellAnchor>
  <xdr:twoCellAnchor>
    <xdr:from>
      <xdr:col>32</xdr:col>
      <xdr:colOff>251011</xdr:colOff>
      <xdr:row>39</xdr:row>
      <xdr:rowOff>26893</xdr:rowOff>
    </xdr:from>
    <xdr:to>
      <xdr:col>37</xdr:col>
      <xdr:colOff>251012</xdr:colOff>
      <xdr:row>44</xdr:row>
      <xdr:rowOff>71717</xdr:rowOff>
    </xdr:to>
    <xdr:sp macro="" textlink="Pivot_Table!A70">
      <xdr:nvSpPr>
        <xdr:cNvPr id="2051" name="TextBox 2050">
          <a:extLst>
            <a:ext uri="{FF2B5EF4-FFF2-40B4-BE49-F238E27FC236}">
              <a16:creationId xmlns:a16="http://schemas.microsoft.com/office/drawing/2014/main" id="{217F4AD6-85C2-4332-BC40-0ECEA885BBFC}"/>
            </a:ext>
          </a:extLst>
        </xdr:cNvPr>
        <xdr:cNvSpPr txBox="1"/>
      </xdr:nvSpPr>
      <xdr:spPr>
        <a:xfrm>
          <a:off x="24478129" y="7288305"/>
          <a:ext cx="3361765" cy="941294"/>
        </a:xfrm>
        <a:prstGeom prst="rect">
          <a:avLst/>
        </a:prstGeom>
        <a:noFill/>
        <a:ln w="9525">
          <a:noFill/>
          <a:miter lim="800000"/>
          <a:headEnd/>
          <a:tailEnd/>
        </a:ln>
      </xdr:spPr>
      <xdr:txBody>
        <a:bodyPr vertOverflow="clip" wrap="square" lIns="18288" tIns="18288" rIns="0" bIns="0" anchor="ctr" upright="1"/>
        <a:lstStyle/>
        <a:p>
          <a:pPr marL="0" indent="0" algn="l" rtl="0">
            <a:lnSpc>
              <a:spcPts val="900"/>
            </a:lnSpc>
            <a:defRPr sz="1000"/>
          </a:pPr>
          <a:fld id="{5DBDC41A-37A4-4E2E-9D64-08051BD54152}" type="TxLink">
            <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rPr>
            <a:pPr marL="0" indent="0" algn="l" rtl="0">
              <a:lnSpc>
                <a:spcPts val="900"/>
              </a:lnSpc>
              <a:defRPr sz="1000"/>
            </a:pPr>
            <a:t>Robert Berg</a:t>
          </a:fld>
          <a:endPar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endParaRPr>
        </a:p>
      </xdr:txBody>
    </xdr:sp>
    <xdr:clientData/>
  </xdr:twoCellAnchor>
  <xdr:twoCellAnchor>
    <xdr:from>
      <xdr:col>32</xdr:col>
      <xdr:colOff>201704</xdr:colOff>
      <xdr:row>45</xdr:row>
      <xdr:rowOff>67235</xdr:rowOff>
    </xdr:from>
    <xdr:to>
      <xdr:col>37</xdr:col>
      <xdr:colOff>201705</xdr:colOff>
      <xdr:row>50</xdr:row>
      <xdr:rowOff>112058</xdr:rowOff>
    </xdr:to>
    <xdr:sp macro="" textlink="Pivot_Table!A71">
      <xdr:nvSpPr>
        <xdr:cNvPr id="2052" name="TextBox 2051">
          <a:extLst>
            <a:ext uri="{FF2B5EF4-FFF2-40B4-BE49-F238E27FC236}">
              <a16:creationId xmlns:a16="http://schemas.microsoft.com/office/drawing/2014/main" id="{1C043583-139F-4E77-A0B3-CB0450052F21}"/>
            </a:ext>
          </a:extLst>
        </xdr:cNvPr>
        <xdr:cNvSpPr txBox="1"/>
      </xdr:nvSpPr>
      <xdr:spPr>
        <a:xfrm>
          <a:off x="24428822" y="8404411"/>
          <a:ext cx="3361765" cy="941294"/>
        </a:xfrm>
        <a:prstGeom prst="rect">
          <a:avLst/>
        </a:prstGeom>
        <a:noFill/>
        <a:ln w="9525">
          <a:noFill/>
          <a:miter lim="800000"/>
          <a:headEnd/>
          <a:tailEnd/>
        </a:ln>
      </xdr:spPr>
      <xdr:txBody>
        <a:bodyPr vertOverflow="clip" wrap="square" lIns="18288" tIns="18288" rIns="0" bIns="0" anchor="ctr" upright="1"/>
        <a:lstStyle/>
        <a:p>
          <a:pPr marL="0" indent="0" algn="l" rtl="0">
            <a:lnSpc>
              <a:spcPts val="900"/>
            </a:lnSpc>
            <a:defRPr sz="1000"/>
          </a:pPr>
          <a:fld id="{D9BE659E-2688-4FBB-8CAA-6494542A9BAC}" type="TxLink">
            <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rPr>
            <a:pPr marL="0" indent="0" algn="l" rtl="0">
              <a:lnSpc>
                <a:spcPts val="900"/>
              </a:lnSpc>
              <a:defRPr sz="1000"/>
            </a:pPr>
            <a:t>Gary Clark</a:t>
          </a:fld>
          <a:endPar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endParaRPr>
        </a:p>
      </xdr:txBody>
    </xdr:sp>
    <xdr:clientData/>
  </xdr:twoCellAnchor>
  <xdr:twoCellAnchor>
    <xdr:from>
      <xdr:col>32</xdr:col>
      <xdr:colOff>264457</xdr:colOff>
      <xdr:row>50</xdr:row>
      <xdr:rowOff>174812</xdr:rowOff>
    </xdr:from>
    <xdr:to>
      <xdr:col>40</xdr:col>
      <xdr:colOff>246529</xdr:colOff>
      <xdr:row>56</xdr:row>
      <xdr:rowOff>40341</xdr:rowOff>
    </xdr:to>
    <xdr:sp macro="" textlink="Pivot_Table!A72">
      <xdr:nvSpPr>
        <xdr:cNvPr id="2053" name="TextBox 2052">
          <a:extLst>
            <a:ext uri="{FF2B5EF4-FFF2-40B4-BE49-F238E27FC236}">
              <a16:creationId xmlns:a16="http://schemas.microsoft.com/office/drawing/2014/main" id="{BE00A615-5F0D-4174-8F53-BCC889DD4633}"/>
            </a:ext>
          </a:extLst>
        </xdr:cNvPr>
        <xdr:cNvSpPr txBox="1"/>
      </xdr:nvSpPr>
      <xdr:spPr>
        <a:xfrm>
          <a:off x="24491575" y="9408459"/>
          <a:ext cx="5360895" cy="941294"/>
        </a:xfrm>
        <a:prstGeom prst="rect">
          <a:avLst/>
        </a:prstGeom>
        <a:noFill/>
        <a:ln w="9525">
          <a:noFill/>
          <a:miter lim="800000"/>
          <a:headEnd/>
          <a:tailEnd/>
        </a:ln>
      </xdr:spPr>
      <xdr:txBody>
        <a:bodyPr vertOverflow="clip" wrap="square" lIns="18288" tIns="18288" rIns="0" bIns="0" anchor="ctr" upright="1"/>
        <a:lstStyle/>
        <a:p>
          <a:pPr marL="0" indent="0" algn="l" rtl="0">
            <a:lnSpc>
              <a:spcPts val="900"/>
            </a:lnSpc>
            <a:defRPr sz="1000"/>
          </a:pPr>
          <a:fld id="{509798BF-F292-4C15-B910-C7CB6D6F19ED}" type="TxLink">
            <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rPr>
            <a:pPr marL="0" indent="0" algn="l" rtl="0">
              <a:lnSpc>
                <a:spcPts val="900"/>
              </a:lnSpc>
              <a:defRPr sz="1000"/>
            </a:pPr>
            <a:t>Brittany Hamilton</a:t>
          </a:fld>
          <a:endPar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endParaRPr>
        </a:p>
      </xdr:txBody>
    </xdr:sp>
    <xdr:clientData/>
  </xdr:twoCellAnchor>
  <xdr:twoCellAnchor>
    <xdr:from>
      <xdr:col>32</xdr:col>
      <xdr:colOff>237564</xdr:colOff>
      <xdr:row>57</xdr:row>
      <xdr:rowOff>80682</xdr:rowOff>
    </xdr:from>
    <xdr:to>
      <xdr:col>37</xdr:col>
      <xdr:colOff>237565</xdr:colOff>
      <xdr:row>62</xdr:row>
      <xdr:rowOff>125506</xdr:rowOff>
    </xdr:to>
    <xdr:sp macro="" textlink="Pivot_Table!A73">
      <xdr:nvSpPr>
        <xdr:cNvPr id="2054" name="TextBox 2053">
          <a:extLst>
            <a:ext uri="{FF2B5EF4-FFF2-40B4-BE49-F238E27FC236}">
              <a16:creationId xmlns:a16="http://schemas.microsoft.com/office/drawing/2014/main" id="{163679FB-2557-414A-BDB6-8654545C50A8}"/>
            </a:ext>
          </a:extLst>
        </xdr:cNvPr>
        <xdr:cNvSpPr txBox="1"/>
      </xdr:nvSpPr>
      <xdr:spPr>
        <a:xfrm>
          <a:off x="24464682" y="10569388"/>
          <a:ext cx="3361765" cy="941294"/>
        </a:xfrm>
        <a:prstGeom prst="rect">
          <a:avLst/>
        </a:prstGeom>
        <a:noFill/>
        <a:ln w="9525">
          <a:noFill/>
          <a:miter lim="800000"/>
          <a:headEnd/>
          <a:tailEnd/>
        </a:ln>
      </xdr:spPr>
      <xdr:txBody>
        <a:bodyPr vertOverflow="clip" wrap="square" lIns="18288" tIns="18288" rIns="0" bIns="0" anchor="ctr" upright="1"/>
        <a:lstStyle/>
        <a:p>
          <a:pPr marL="0" indent="0" algn="l" rtl="0">
            <a:lnSpc>
              <a:spcPts val="900"/>
            </a:lnSpc>
            <a:defRPr sz="1000"/>
          </a:pPr>
          <a:fld id="{2CE7F21F-25CD-45D7-8221-2FF71BCF0AE4}" type="TxLink">
            <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rPr>
            <a:pPr marL="0" indent="0" algn="l" rtl="0">
              <a:lnSpc>
                <a:spcPts val="900"/>
              </a:lnSpc>
              <a:defRPr sz="1000"/>
            </a:pPr>
            <a:t>Connor Fry</a:t>
          </a:fld>
          <a:endPar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endParaRPr>
        </a:p>
      </xdr:txBody>
    </xdr:sp>
    <xdr:clientData/>
  </xdr:twoCellAnchor>
  <xdr:twoCellAnchor>
    <xdr:from>
      <xdr:col>32</xdr:col>
      <xdr:colOff>233082</xdr:colOff>
      <xdr:row>63</xdr:row>
      <xdr:rowOff>76200</xdr:rowOff>
    </xdr:from>
    <xdr:to>
      <xdr:col>39</xdr:col>
      <xdr:colOff>649941</xdr:colOff>
      <xdr:row>68</xdr:row>
      <xdr:rowOff>121024</xdr:rowOff>
    </xdr:to>
    <xdr:sp macro="" textlink="Pivot_Table!A74">
      <xdr:nvSpPr>
        <xdr:cNvPr id="2055" name="TextBox 2054">
          <a:extLst>
            <a:ext uri="{FF2B5EF4-FFF2-40B4-BE49-F238E27FC236}">
              <a16:creationId xmlns:a16="http://schemas.microsoft.com/office/drawing/2014/main" id="{A993C03C-9319-4438-899D-195BA5990D7E}"/>
            </a:ext>
          </a:extLst>
        </xdr:cNvPr>
        <xdr:cNvSpPr txBox="1"/>
      </xdr:nvSpPr>
      <xdr:spPr>
        <a:xfrm>
          <a:off x="24460200" y="11640671"/>
          <a:ext cx="5123329" cy="941294"/>
        </a:xfrm>
        <a:prstGeom prst="rect">
          <a:avLst/>
        </a:prstGeom>
        <a:noFill/>
        <a:ln w="9525">
          <a:noFill/>
          <a:miter lim="800000"/>
          <a:headEnd/>
          <a:tailEnd/>
        </a:ln>
      </xdr:spPr>
      <xdr:txBody>
        <a:bodyPr vertOverflow="clip" wrap="square" lIns="18288" tIns="18288" rIns="0" bIns="0" anchor="ctr" upright="1"/>
        <a:lstStyle/>
        <a:p>
          <a:pPr marL="0" indent="0" algn="l" rtl="0">
            <a:lnSpc>
              <a:spcPts val="900"/>
            </a:lnSpc>
            <a:defRPr sz="1000"/>
          </a:pPr>
          <a:fld id="{89F698A8-B7D7-43D4-8094-2FFFDB5F0C21}" type="TxLink">
            <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rPr>
            <a:pPr marL="0" indent="0" algn="l" rtl="0">
              <a:lnSpc>
                <a:spcPts val="900"/>
              </a:lnSpc>
              <a:defRPr sz="1000"/>
            </a:pPr>
            <a:t>Dawn Caldwell</a:t>
          </a:fld>
          <a:endPar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endParaRPr>
        </a:p>
      </xdr:txBody>
    </xdr:sp>
    <xdr:clientData/>
  </xdr:twoCellAnchor>
  <xdr:twoCellAnchor>
    <xdr:from>
      <xdr:col>32</xdr:col>
      <xdr:colOff>206188</xdr:colOff>
      <xdr:row>69</xdr:row>
      <xdr:rowOff>116541</xdr:rowOff>
    </xdr:from>
    <xdr:to>
      <xdr:col>39</xdr:col>
      <xdr:colOff>67235</xdr:colOff>
      <xdr:row>74</xdr:row>
      <xdr:rowOff>161364</xdr:rowOff>
    </xdr:to>
    <xdr:sp macro="" textlink="Pivot_Table!A75">
      <xdr:nvSpPr>
        <xdr:cNvPr id="2056" name="TextBox 2055">
          <a:extLst>
            <a:ext uri="{FF2B5EF4-FFF2-40B4-BE49-F238E27FC236}">
              <a16:creationId xmlns:a16="http://schemas.microsoft.com/office/drawing/2014/main" id="{1EEA9824-D716-4409-815E-33F746A30AA5}"/>
            </a:ext>
          </a:extLst>
        </xdr:cNvPr>
        <xdr:cNvSpPr txBox="1"/>
      </xdr:nvSpPr>
      <xdr:spPr>
        <a:xfrm>
          <a:off x="24433306" y="12756776"/>
          <a:ext cx="4567517" cy="941294"/>
        </a:xfrm>
        <a:prstGeom prst="rect">
          <a:avLst/>
        </a:prstGeom>
        <a:noFill/>
        <a:ln w="9525">
          <a:noFill/>
          <a:miter lim="800000"/>
          <a:headEnd/>
          <a:tailEnd/>
        </a:ln>
      </xdr:spPr>
      <xdr:txBody>
        <a:bodyPr vertOverflow="clip" wrap="square" lIns="18288" tIns="18288" rIns="0" bIns="0" anchor="ctr" upright="1"/>
        <a:lstStyle/>
        <a:p>
          <a:pPr marL="0" indent="0" algn="l" rtl="0">
            <a:lnSpc>
              <a:spcPts val="900"/>
            </a:lnSpc>
            <a:defRPr sz="1000"/>
          </a:pPr>
          <a:fld id="{1C505583-267C-45F5-A170-D9746D08FE19}" type="TxLink">
            <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rPr>
            <a:pPr marL="0" indent="0" algn="l" rtl="0">
              <a:lnSpc>
                <a:spcPts val="900"/>
              </a:lnSpc>
              <a:defRPr sz="1000"/>
            </a:pPr>
            <a:t>William Villarreal</a:t>
          </a:fld>
          <a:endPar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endParaRPr>
        </a:p>
      </xdr:txBody>
    </xdr:sp>
    <xdr:clientData/>
  </xdr:twoCellAnchor>
  <xdr:twoCellAnchor>
    <xdr:from>
      <xdr:col>32</xdr:col>
      <xdr:colOff>246530</xdr:colOff>
      <xdr:row>75</xdr:row>
      <xdr:rowOff>44823</xdr:rowOff>
    </xdr:from>
    <xdr:to>
      <xdr:col>39</xdr:col>
      <xdr:colOff>381000</xdr:colOff>
      <xdr:row>80</xdr:row>
      <xdr:rowOff>89646</xdr:rowOff>
    </xdr:to>
    <xdr:sp macro="" textlink="Pivot_Table!A76">
      <xdr:nvSpPr>
        <xdr:cNvPr id="2057" name="TextBox 2056">
          <a:extLst>
            <a:ext uri="{FF2B5EF4-FFF2-40B4-BE49-F238E27FC236}">
              <a16:creationId xmlns:a16="http://schemas.microsoft.com/office/drawing/2014/main" id="{675A2AFD-E1C2-4721-9BB5-952DB55FD1CE}"/>
            </a:ext>
          </a:extLst>
        </xdr:cNvPr>
        <xdr:cNvSpPr txBox="1"/>
      </xdr:nvSpPr>
      <xdr:spPr>
        <a:xfrm>
          <a:off x="24473648" y="13760823"/>
          <a:ext cx="4840940" cy="941294"/>
        </a:xfrm>
        <a:prstGeom prst="rect">
          <a:avLst/>
        </a:prstGeom>
        <a:noFill/>
        <a:ln w="9525">
          <a:noFill/>
          <a:miter lim="800000"/>
          <a:headEnd/>
          <a:tailEnd/>
        </a:ln>
      </xdr:spPr>
      <xdr:txBody>
        <a:bodyPr vertOverflow="clip" wrap="square" lIns="18288" tIns="18288" rIns="0" bIns="0" anchor="ctr" upright="1"/>
        <a:lstStyle/>
        <a:p>
          <a:pPr marL="0" indent="0" algn="l" rtl="0">
            <a:lnSpc>
              <a:spcPts val="900"/>
            </a:lnSpc>
            <a:defRPr sz="1000"/>
          </a:pPr>
          <a:fld id="{28B985F8-2558-40E3-82E6-B0E4A8E149BE}" type="TxLink">
            <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rPr>
            <a:pPr marL="0" indent="0" algn="l" rtl="0">
              <a:lnSpc>
                <a:spcPts val="900"/>
              </a:lnSpc>
              <a:defRPr sz="1000"/>
            </a:pPr>
            <a:t>Randy Pittman</a:t>
          </a:fld>
          <a:endParaRPr lang="en-US" sz="4400" b="1">
            <a:solidFill>
              <a:schemeClr val="accent6">
                <a:lumMod val="60000"/>
                <a:lumOff val="40000"/>
              </a:schemeClr>
            </a:solidFill>
            <a:latin typeface="Amasis MT Pro Medium" panose="02040604050005020304" pitchFamily="18" charset="0"/>
            <a:ea typeface="ADLaM Display" panose="02010000000000000000" pitchFamily="2" charset="0"/>
            <a:cs typeface="ADLaM Display" panose="02010000000000000000" pitchFamily="2" charset="0"/>
          </a:endParaRPr>
        </a:p>
      </xdr:txBody>
    </xdr:sp>
    <xdr:clientData/>
  </xdr:twoCellAnchor>
  <xdr:twoCellAnchor>
    <xdr:from>
      <xdr:col>39</xdr:col>
      <xdr:colOff>201706</xdr:colOff>
      <xdr:row>17</xdr:row>
      <xdr:rowOff>0</xdr:rowOff>
    </xdr:from>
    <xdr:to>
      <xdr:col>41</xdr:col>
      <xdr:colOff>336176</xdr:colOff>
      <xdr:row>20</xdr:row>
      <xdr:rowOff>67236</xdr:rowOff>
    </xdr:to>
    <xdr:sp macro="" textlink="Pivot_Table!$B$66">
      <xdr:nvSpPr>
        <xdr:cNvPr id="2059" name="TextBox 2058">
          <a:extLst>
            <a:ext uri="{FF2B5EF4-FFF2-40B4-BE49-F238E27FC236}">
              <a16:creationId xmlns:a16="http://schemas.microsoft.com/office/drawing/2014/main" id="{C1980A1A-39A6-6CD9-A248-30AB2ADB765E}"/>
            </a:ext>
          </a:extLst>
        </xdr:cNvPr>
        <xdr:cNvSpPr txBox="1"/>
      </xdr:nvSpPr>
      <xdr:spPr>
        <a:xfrm>
          <a:off x="29135294" y="3048000"/>
          <a:ext cx="1479176" cy="605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2279B3-26FE-4E94-9B44-2E2116177940}" type="TxLink">
            <a:rPr lang="en-US" sz="4400" b="0" i="0" u="none" strike="noStrike">
              <a:solidFill>
                <a:srgbClr val="002060"/>
              </a:solidFill>
              <a:latin typeface="Tw Cen MT"/>
            </a:rPr>
            <a:pPr/>
            <a:t>3.99</a:t>
          </a:fld>
          <a:endParaRPr lang="en-US" sz="4400" b="0">
            <a:solidFill>
              <a:srgbClr val="002060"/>
            </a:solidFill>
          </a:endParaRPr>
        </a:p>
      </xdr:txBody>
    </xdr:sp>
    <xdr:clientData/>
  </xdr:twoCellAnchor>
  <xdr:twoCellAnchor>
    <xdr:from>
      <xdr:col>39</xdr:col>
      <xdr:colOff>264459</xdr:colOff>
      <xdr:row>22</xdr:row>
      <xdr:rowOff>85164</xdr:rowOff>
    </xdr:from>
    <xdr:to>
      <xdr:col>41</xdr:col>
      <xdr:colOff>398929</xdr:colOff>
      <xdr:row>25</xdr:row>
      <xdr:rowOff>152400</xdr:rowOff>
    </xdr:to>
    <xdr:sp macro="" textlink="Pivot_Table!$B$67">
      <xdr:nvSpPr>
        <xdr:cNvPr id="2060" name="TextBox 2059">
          <a:extLst>
            <a:ext uri="{FF2B5EF4-FFF2-40B4-BE49-F238E27FC236}">
              <a16:creationId xmlns:a16="http://schemas.microsoft.com/office/drawing/2014/main" id="{C67DE3C8-31FB-4373-905D-EB5E6621B1D1}"/>
            </a:ext>
          </a:extLst>
        </xdr:cNvPr>
        <xdr:cNvSpPr txBox="1"/>
      </xdr:nvSpPr>
      <xdr:spPr>
        <a:xfrm>
          <a:off x="29198047" y="4029635"/>
          <a:ext cx="1479176" cy="605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A9A7515-9515-490C-92D8-A950FFD27DB2}" type="TxLink">
            <a:rPr lang="en-US" sz="4400" b="0" i="0" u="none" strike="noStrike">
              <a:solidFill>
                <a:srgbClr val="002060"/>
              </a:solidFill>
              <a:latin typeface="Tw Cen MT"/>
              <a:ea typeface="+mn-ea"/>
              <a:cs typeface="+mn-cs"/>
            </a:rPr>
            <a:pPr marL="0" indent="0"/>
            <a:t>3.98</a:t>
          </a:fld>
          <a:endParaRPr lang="en-US" sz="4400" b="0" i="0" u="none" strike="noStrike">
            <a:solidFill>
              <a:srgbClr val="002060"/>
            </a:solidFill>
            <a:latin typeface="Tw Cen MT"/>
            <a:ea typeface="+mn-ea"/>
            <a:cs typeface="+mn-cs"/>
          </a:endParaRPr>
        </a:p>
      </xdr:txBody>
    </xdr:sp>
    <xdr:clientData/>
  </xdr:twoCellAnchor>
  <xdr:twoCellAnchor>
    <xdr:from>
      <xdr:col>39</xdr:col>
      <xdr:colOff>282388</xdr:colOff>
      <xdr:row>28</xdr:row>
      <xdr:rowOff>13448</xdr:rowOff>
    </xdr:from>
    <xdr:to>
      <xdr:col>41</xdr:col>
      <xdr:colOff>416858</xdr:colOff>
      <xdr:row>31</xdr:row>
      <xdr:rowOff>80683</xdr:rowOff>
    </xdr:to>
    <xdr:sp macro="" textlink="Pivot_Table!$B$68">
      <xdr:nvSpPr>
        <xdr:cNvPr id="2061" name="TextBox 2060">
          <a:extLst>
            <a:ext uri="{FF2B5EF4-FFF2-40B4-BE49-F238E27FC236}">
              <a16:creationId xmlns:a16="http://schemas.microsoft.com/office/drawing/2014/main" id="{A07CECD0-CF9A-4978-A731-55583B96FD72}"/>
            </a:ext>
          </a:extLst>
        </xdr:cNvPr>
        <xdr:cNvSpPr txBox="1"/>
      </xdr:nvSpPr>
      <xdr:spPr>
        <a:xfrm>
          <a:off x="29215976" y="5033683"/>
          <a:ext cx="1479176" cy="605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8BEC104-1B7D-415B-B336-9C7CE855681E}" type="TxLink">
            <a:rPr lang="en-US" sz="4400" b="0" i="0" u="none" strike="noStrike">
              <a:solidFill>
                <a:srgbClr val="002060"/>
              </a:solidFill>
              <a:latin typeface="Tw Cen MT"/>
              <a:ea typeface="+mn-ea"/>
              <a:cs typeface="+mn-cs"/>
            </a:rPr>
            <a:pPr marL="0" indent="0"/>
            <a:t>3.98</a:t>
          </a:fld>
          <a:endParaRPr lang="en-US" sz="4400" b="0" i="0" u="none" strike="noStrike">
            <a:solidFill>
              <a:srgbClr val="002060"/>
            </a:solidFill>
            <a:latin typeface="Tw Cen MT"/>
            <a:ea typeface="+mn-ea"/>
            <a:cs typeface="+mn-cs"/>
          </a:endParaRPr>
        </a:p>
      </xdr:txBody>
    </xdr:sp>
    <xdr:clientData/>
  </xdr:twoCellAnchor>
  <xdr:twoCellAnchor>
    <xdr:from>
      <xdr:col>39</xdr:col>
      <xdr:colOff>345140</xdr:colOff>
      <xdr:row>34</xdr:row>
      <xdr:rowOff>31377</xdr:rowOff>
    </xdr:from>
    <xdr:to>
      <xdr:col>41</xdr:col>
      <xdr:colOff>479610</xdr:colOff>
      <xdr:row>36</xdr:row>
      <xdr:rowOff>143437</xdr:rowOff>
    </xdr:to>
    <xdr:sp macro="" textlink="Pivot_Table!$B$69">
      <xdr:nvSpPr>
        <xdr:cNvPr id="2062" name="TextBox 2061">
          <a:extLst>
            <a:ext uri="{FF2B5EF4-FFF2-40B4-BE49-F238E27FC236}">
              <a16:creationId xmlns:a16="http://schemas.microsoft.com/office/drawing/2014/main" id="{5B53A94F-DCB9-43DF-B3A3-9479D24CE93D}"/>
            </a:ext>
          </a:extLst>
        </xdr:cNvPr>
        <xdr:cNvSpPr txBox="1"/>
      </xdr:nvSpPr>
      <xdr:spPr>
        <a:xfrm>
          <a:off x="29278728" y="6261848"/>
          <a:ext cx="1479176" cy="605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D3E0164-4402-4682-8990-4110467E5FB9}" type="TxLink">
            <a:rPr lang="en-US" sz="4400" b="0" i="0" u="none" strike="noStrike">
              <a:solidFill>
                <a:srgbClr val="002060"/>
              </a:solidFill>
              <a:latin typeface="Tw Cen MT"/>
              <a:ea typeface="+mn-ea"/>
              <a:cs typeface="+mn-cs"/>
            </a:rPr>
            <a:pPr marL="0" indent="0"/>
            <a:t>3.97</a:t>
          </a:fld>
          <a:endParaRPr lang="en-US" sz="4400" b="0" i="0" u="none" strike="noStrike">
            <a:solidFill>
              <a:srgbClr val="002060"/>
            </a:solidFill>
            <a:latin typeface="Tw Cen MT"/>
            <a:ea typeface="+mn-ea"/>
            <a:cs typeface="+mn-cs"/>
          </a:endParaRPr>
        </a:p>
      </xdr:txBody>
    </xdr:sp>
    <xdr:clientData/>
  </xdr:twoCellAnchor>
  <xdr:twoCellAnchor>
    <xdr:from>
      <xdr:col>39</xdr:col>
      <xdr:colOff>385482</xdr:colOff>
      <xdr:row>39</xdr:row>
      <xdr:rowOff>116541</xdr:rowOff>
    </xdr:from>
    <xdr:to>
      <xdr:col>41</xdr:col>
      <xdr:colOff>519952</xdr:colOff>
      <xdr:row>43</xdr:row>
      <xdr:rowOff>4483</xdr:rowOff>
    </xdr:to>
    <xdr:sp macro="" textlink="Pivot_Table!$B$70">
      <xdr:nvSpPr>
        <xdr:cNvPr id="2063" name="TextBox 2062">
          <a:extLst>
            <a:ext uri="{FF2B5EF4-FFF2-40B4-BE49-F238E27FC236}">
              <a16:creationId xmlns:a16="http://schemas.microsoft.com/office/drawing/2014/main" id="{64890B70-7038-4EF6-B119-0FD98D91C8B4}"/>
            </a:ext>
          </a:extLst>
        </xdr:cNvPr>
        <xdr:cNvSpPr txBox="1"/>
      </xdr:nvSpPr>
      <xdr:spPr>
        <a:xfrm>
          <a:off x="29319070" y="7377953"/>
          <a:ext cx="1479176" cy="605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A3A961-70A9-4770-A0A9-DA43209F698D}" type="TxLink">
            <a:rPr lang="en-US" sz="4400" b="0" i="0" u="none" strike="noStrike">
              <a:solidFill>
                <a:srgbClr val="002060"/>
              </a:solidFill>
              <a:latin typeface="Tw Cen MT"/>
              <a:ea typeface="+mn-ea"/>
              <a:cs typeface="+mn-cs"/>
            </a:rPr>
            <a:pPr marL="0" indent="0"/>
            <a:t>3.97</a:t>
          </a:fld>
          <a:endParaRPr lang="en-US" sz="4400" b="0" i="0" u="none" strike="noStrike">
            <a:solidFill>
              <a:srgbClr val="002060"/>
            </a:solidFill>
            <a:latin typeface="Tw Cen MT"/>
            <a:ea typeface="+mn-ea"/>
            <a:cs typeface="+mn-cs"/>
          </a:endParaRPr>
        </a:p>
      </xdr:txBody>
    </xdr:sp>
    <xdr:clientData/>
  </xdr:twoCellAnchor>
  <xdr:twoCellAnchor>
    <xdr:from>
      <xdr:col>39</xdr:col>
      <xdr:colOff>425823</xdr:colOff>
      <xdr:row>45</xdr:row>
      <xdr:rowOff>112059</xdr:rowOff>
    </xdr:from>
    <xdr:to>
      <xdr:col>41</xdr:col>
      <xdr:colOff>560293</xdr:colOff>
      <xdr:row>49</xdr:row>
      <xdr:rowOff>0</xdr:rowOff>
    </xdr:to>
    <xdr:sp macro="" textlink="Pivot_Table!$B$71">
      <xdr:nvSpPr>
        <xdr:cNvPr id="2064" name="TextBox 2063">
          <a:extLst>
            <a:ext uri="{FF2B5EF4-FFF2-40B4-BE49-F238E27FC236}">
              <a16:creationId xmlns:a16="http://schemas.microsoft.com/office/drawing/2014/main" id="{62F10BC8-988D-48D9-BBE4-A571680F7B24}"/>
            </a:ext>
          </a:extLst>
        </xdr:cNvPr>
        <xdr:cNvSpPr txBox="1"/>
      </xdr:nvSpPr>
      <xdr:spPr>
        <a:xfrm>
          <a:off x="29359411" y="8449235"/>
          <a:ext cx="1479176" cy="605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51CAFC5-9BD9-428A-B556-B1C3DB73AE1A}" type="TxLink">
            <a:rPr lang="en-US" sz="4400" b="0" i="0" u="none" strike="noStrike">
              <a:solidFill>
                <a:srgbClr val="002060"/>
              </a:solidFill>
              <a:latin typeface="Tw Cen MT"/>
              <a:ea typeface="+mn-ea"/>
              <a:cs typeface="+mn-cs"/>
            </a:rPr>
            <a:pPr marL="0" indent="0"/>
            <a:t>3.96</a:t>
          </a:fld>
          <a:endParaRPr lang="en-US" sz="4400" b="0" i="0" u="none" strike="noStrike">
            <a:solidFill>
              <a:srgbClr val="002060"/>
            </a:solidFill>
            <a:latin typeface="Tw Cen MT"/>
            <a:ea typeface="+mn-ea"/>
            <a:cs typeface="+mn-cs"/>
          </a:endParaRPr>
        </a:p>
      </xdr:txBody>
    </xdr:sp>
    <xdr:clientData/>
  </xdr:twoCellAnchor>
  <xdr:twoCellAnchor>
    <xdr:from>
      <xdr:col>39</xdr:col>
      <xdr:colOff>443752</xdr:colOff>
      <xdr:row>57</xdr:row>
      <xdr:rowOff>62753</xdr:rowOff>
    </xdr:from>
    <xdr:to>
      <xdr:col>41</xdr:col>
      <xdr:colOff>578222</xdr:colOff>
      <xdr:row>60</xdr:row>
      <xdr:rowOff>129989</xdr:rowOff>
    </xdr:to>
    <xdr:sp macro="" textlink="Pivot_Table!$B$73">
      <xdr:nvSpPr>
        <xdr:cNvPr id="2065" name="TextBox 2064">
          <a:extLst>
            <a:ext uri="{FF2B5EF4-FFF2-40B4-BE49-F238E27FC236}">
              <a16:creationId xmlns:a16="http://schemas.microsoft.com/office/drawing/2014/main" id="{F754FADC-F493-425F-8CE9-53C81F0CFECE}"/>
            </a:ext>
          </a:extLst>
        </xdr:cNvPr>
        <xdr:cNvSpPr txBox="1"/>
      </xdr:nvSpPr>
      <xdr:spPr>
        <a:xfrm>
          <a:off x="29377340" y="10551459"/>
          <a:ext cx="1479176" cy="605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F97DDB2-3DE2-44E0-8B2E-B08AD6F572E4}" type="TxLink">
            <a:rPr lang="en-US" sz="4400" b="0" i="0" u="none" strike="noStrike">
              <a:solidFill>
                <a:srgbClr val="002060"/>
              </a:solidFill>
              <a:latin typeface="Tw Cen MT"/>
              <a:ea typeface="+mn-ea"/>
              <a:cs typeface="+mn-cs"/>
            </a:rPr>
            <a:pPr marL="0" indent="0"/>
            <a:t>3.94</a:t>
          </a:fld>
          <a:endParaRPr lang="en-US" sz="4400" b="0" i="0" u="none" strike="noStrike">
            <a:solidFill>
              <a:srgbClr val="002060"/>
            </a:solidFill>
            <a:latin typeface="Tw Cen MT"/>
            <a:ea typeface="+mn-ea"/>
            <a:cs typeface="+mn-cs"/>
          </a:endParaRPr>
        </a:p>
      </xdr:txBody>
    </xdr:sp>
    <xdr:clientData/>
  </xdr:twoCellAnchor>
  <xdr:twoCellAnchor>
    <xdr:from>
      <xdr:col>39</xdr:col>
      <xdr:colOff>394445</xdr:colOff>
      <xdr:row>51</xdr:row>
      <xdr:rowOff>58272</xdr:rowOff>
    </xdr:from>
    <xdr:to>
      <xdr:col>41</xdr:col>
      <xdr:colOff>528915</xdr:colOff>
      <xdr:row>54</xdr:row>
      <xdr:rowOff>125507</xdr:rowOff>
    </xdr:to>
    <xdr:sp macro="" textlink="Pivot_Table!$B$72">
      <xdr:nvSpPr>
        <xdr:cNvPr id="2066" name="TextBox 2065">
          <a:extLst>
            <a:ext uri="{FF2B5EF4-FFF2-40B4-BE49-F238E27FC236}">
              <a16:creationId xmlns:a16="http://schemas.microsoft.com/office/drawing/2014/main" id="{70F3C7DA-F5E7-42ED-880A-5733012A43DC}"/>
            </a:ext>
          </a:extLst>
        </xdr:cNvPr>
        <xdr:cNvSpPr txBox="1"/>
      </xdr:nvSpPr>
      <xdr:spPr>
        <a:xfrm>
          <a:off x="29328033" y="9471213"/>
          <a:ext cx="1479176" cy="605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722C40-CF27-4354-9FA9-57FBDCAB53C9}" type="TxLink">
            <a:rPr lang="en-US" sz="4400" b="0" i="0" u="none" strike="noStrike">
              <a:solidFill>
                <a:srgbClr val="002060"/>
              </a:solidFill>
              <a:latin typeface="Tw Cen MT"/>
              <a:ea typeface="+mn-ea"/>
              <a:cs typeface="+mn-cs"/>
            </a:rPr>
            <a:pPr marL="0" indent="0"/>
            <a:t>3.95</a:t>
          </a:fld>
          <a:endParaRPr lang="en-US" sz="4400" b="0" i="0" u="none" strike="noStrike">
            <a:solidFill>
              <a:srgbClr val="002060"/>
            </a:solidFill>
            <a:latin typeface="Tw Cen MT"/>
            <a:ea typeface="+mn-ea"/>
            <a:cs typeface="+mn-cs"/>
          </a:endParaRPr>
        </a:p>
      </xdr:txBody>
    </xdr:sp>
    <xdr:clientData/>
  </xdr:twoCellAnchor>
  <xdr:twoCellAnchor>
    <xdr:from>
      <xdr:col>39</xdr:col>
      <xdr:colOff>457200</xdr:colOff>
      <xdr:row>63</xdr:row>
      <xdr:rowOff>98611</xdr:rowOff>
    </xdr:from>
    <xdr:to>
      <xdr:col>41</xdr:col>
      <xdr:colOff>591670</xdr:colOff>
      <xdr:row>66</xdr:row>
      <xdr:rowOff>165847</xdr:rowOff>
    </xdr:to>
    <xdr:sp macro="" textlink="Pivot_Table!$B$74">
      <xdr:nvSpPr>
        <xdr:cNvPr id="2067" name="TextBox 2066">
          <a:extLst>
            <a:ext uri="{FF2B5EF4-FFF2-40B4-BE49-F238E27FC236}">
              <a16:creationId xmlns:a16="http://schemas.microsoft.com/office/drawing/2014/main" id="{8A0DA5F7-484B-42A8-9927-50C2253BD933}"/>
            </a:ext>
          </a:extLst>
        </xdr:cNvPr>
        <xdr:cNvSpPr txBox="1"/>
      </xdr:nvSpPr>
      <xdr:spPr>
        <a:xfrm>
          <a:off x="29390788" y="11663082"/>
          <a:ext cx="1479176" cy="605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FC8D5D-9B05-49F2-82F4-03F7587932C4}" type="TxLink">
            <a:rPr lang="en-US" sz="4400" b="0" i="0" u="none" strike="noStrike">
              <a:solidFill>
                <a:srgbClr val="002060"/>
              </a:solidFill>
              <a:latin typeface="Tw Cen MT"/>
              <a:ea typeface="+mn-ea"/>
              <a:cs typeface="+mn-cs"/>
            </a:rPr>
            <a:pPr marL="0" indent="0"/>
            <a:t>3.92</a:t>
          </a:fld>
          <a:endParaRPr lang="en-US" sz="4400" b="0" i="0" u="none" strike="noStrike">
            <a:solidFill>
              <a:srgbClr val="002060"/>
            </a:solidFill>
            <a:latin typeface="Tw Cen MT"/>
            <a:ea typeface="+mn-ea"/>
            <a:cs typeface="+mn-cs"/>
          </a:endParaRPr>
        </a:p>
      </xdr:txBody>
    </xdr:sp>
    <xdr:clientData/>
  </xdr:twoCellAnchor>
  <xdr:twoCellAnchor>
    <xdr:from>
      <xdr:col>39</xdr:col>
      <xdr:colOff>475129</xdr:colOff>
      <xdr:row>69</xdr:row>
      <xdr:rowOff>138952</xdr:rowOff>
    </xdr:from>
    <xdr:to>
      <xdr:col>41</xdr:col>
      <xdr:colOff>609599</xdr:colOff>
      <xdr:row>73</xdr:row>
      <xdr:rowOff>26893</xdr:rowOff>
    </xdr:to>
    <xdr:sp macro="" textlink="Pivot_Table!$B$75">
      <xdr:nvSpPr>
        <xdr:cNvPr id="2068" name="TextBox 2067">
          <a:extLst>
            <a:ext uri="{FF2B5EF4-FFF2-40B4-BE49-F238E27FC236}">
              <a16:creationId xmlns:a16="http://schemas.microsoft.com/office/drawing/2014/main" id="{FEEDBD2A-0627-497F-AD5E-605D0502B864}"/>
            </a:ext>
          </a:extLst>
        </xdr:cNvPr>
        <xdr:cNvSpPr txBox="1"/>
      </xdr:nvSpPr>
      <xdr:spPr>
        <a:xfrm>
          <a:off x="29408717" y="12779187"/>
          <a:ext cx="1479176" cy="605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ADFBE3-3100-411D-9755-8F3DBA785FA7}" type="TxLink">
            <a:rPr lang="en-US" sz="4400" b="0" i="0" u="none" strike="noStrike">
              <a:solidFill>
                <a:srgbClr val="002060"/>
              </a:solidFill>
              <a:latin typeface="Tw Cen MT"/>
              <a:ea typeface="+mn-ea"/>
              <a:cs typeface="+mn-cs"/>
            </a:rPr>
            <a:pPr marL="0" indent="0"/>
            <a:t>3.92</a:t>
          </a:fld>
          <a:endParaRPr lang="en-US" sz="4400" b="0" i="0" u="none" strike="noStrike">
            <a:solidFill>
              <a:srgbClr val="002060"/>
            </a:solidFill>
            <a:latin typeface="Tw Cen MT"/>
            <a:ea typeface="+mn-ea"/>
            <a:cs typeface="+mn-cs"/>
          </a:endParaRPr>
        </a:p>
      </xdr:txBody>
    </xdr:sp>
    <xdr:clientData/>
  </xdr:twoCellAnchor>
  <xdr:twoCellAnchor>
    <xdr:from>
      <xdr:col>39</xdr:col>
      <xdr:colOff>493058</xdr:colOff>
      <xdr:row>75</xdr:row>
      <xdr:rowOff>67235</xdr:rowOff>
    </xdr:from>
    <xdr:to>
      <xdr:col>41</xdr:col>
      <xdr:colOff>627528</xdr:colOff>
      <xdr:row>78</xdr:row>
      <xdr:rowOff>134471</xdr:rowOff>
    </xdr:to>
    <xdr:sp macro="" textlink="Pivot_Table!$B$76">
      <xdr:nvSpPr>
        <xdr:cNvPr id="2069" name="TextBox 2068">
          <a:extLst>
            <a:ext uri="{FF2B5EF4-FFF2-40B4-BE49-F238E27FC236}">
              <a16:creationId xmlns:a16="http://schemas.microsoft.com/office/drawing/2014/main" id="{50406E11-8DF0-419F-9561-84BD80FDAB11}"/>
            </a:ext>
          </a:extLst>
        </xdr:cNvPr>
        <xdr:cNvSpPr txBox="1"/>
      </xdr:nvSpPr>
      <xdr:spPr>
        <a:xfrm>
          <a:off x="29426646" y="13783235"/>
          <a:ext cx="1479176" cy="605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E2A07F5-FA5F-4832-923D-EBA0D99905CE}" type="TxLink">
            <a:rPr lang="en-US" sz="4400" b="0" i="0" u="none" strike="noStrike">
              <a:solidFill>
                <a:srgbClr val="002060"/>
              </a:solidFill>
              <a:latin typeface="Tw Cen MT"/>
              <a:ea typeface="+mn-ea"/>
              <a:cs typeface="+mn-cs"/>
            </a:rPr>
            <a:pPr marL="0" indent="0"/>
            <a:t>3.92</a:t>
          </a:fld>
          <a:endParaRPr lang="en-US" sz="4400" b="0" i="0" u="none" strike="noStrike">
            <a:solidFill>
              <a:srgbClr val="002060"/>
            </a:solidFill>
            <a:latin typeface="Tw Cen MT"/>
            <a:ea typeface="+mn-ea"/>
            <a:cs typeface="+mn-cs"/>
          </a:endParaRPr>
        </a:p>
      </xdr:txBody>
    </xdr:sp>
    <xdr:clientData/>
  </xdr:twoCellAnchor>
  <xdr:twoCellAnchor>
    <xdr:from>
      <xdr:col>32</xdr:col>
      <xdr:colOff>524871</xdr:colOff>
      <xdr:row>6</xdr:row>
      <xdr:rowOff>40486</xdr:rowOff>
    </xdr:from>
    <xdr:to>
      <xdr:col>40</xdr:col>
      <xdr:colOff>560296</xdr:colOff>
      <xdr:row>21</xdr:row>
      <xdr:rowOff>67236</xdr:rowOff>
    </xdr:to>
    <xdr:sp macro="" textlink="">
      <xdr:nvSpPr>
        <xdr:cNvPr id="2049" name="Text Box 1">
          <a:extLst>
            <a:ext uri="{FF2B5EF4-FFF2-40B4-BE49-F238E27FC236}">
              <a16:creationId xmlns:a16="http://schemas.microsoft.com/office/drawing/2014/main" id="{32753C71-48F0-D9E4-487C-0B555D925B41}"/>
            </a:ext>
          </a:extLst>
        </xdr:cNvPr>
        <xdr:cNvSpPr txBox="1">
          <a:spLocks noChangeArrowheads="1"/>
        </xdr:cNvSpPr>
      </xdr:nvSpPr>
      <xdr:spPr bwMode="auto">
        <a:xfrm>
          <a:off x="24751989" y="1116251"/>
          <a:ext cx="5414248" cy="2716161"/>
        </a:xfrm>
        <a:prstGeom prst="rect">
          <a:avLst/>
        </a:prstGeom>
        <a:noFill/>
        <a:ln w="9525">
          <a:noFill/>
          <a:miter lim="800000"/>
          <a:headEnd/>
          <a:tailEnd/>
        </a:ln>
      </xdr:spPr>
      <xdr:txBody>
        <a:bodyPr vertOverflow="clip" wrap="square" lIns="18288" tIns="18288" rIns="0" bIns="0" anchor="ctr" upright="1"/>
        <a:lstStyle/>
        <a:p>
          <a:pPr algn="ctr" rtl="0">
            <a:lnSpc>
              <a:spcPts val="900"/>
            </a:lnSpc>
            <a:defRPr sz="1000"/>
          </a:pPr>
          <a:r>
            <a:rPr lang="en-US" sz="4400" b="1">
              <a:solidFill>
                <a:srgbClr val="002060"/>
              </a:solidFill>
              <a:latin typeface="Amasis MT Pro Medium" panose="02040604050005020304" pitchFamily="18" charset="0"/>
              <a:ea typeface="ADLaM Display" panose="02010000000000000000" pitchFamily="2" charset="0"/>
              <a:cs typeface="ADLaM Display" panose="02010000000000000000" pitchFamily="2" charset="0"/>
            </a:rPr>
            <a:t>Students Honor</a:t>
          </a:r>
          <a:r>
            <a:rPr lang="en-US" sz="4400" b="0" i="0" u="none" strike="noStrike" baseline="0">
              <a:solidFill>
                <a:srgbClr val="002060"/>
              </a:solidFill>
              <a:latin typeface="Tw Cen MT"/>
            </a:rPr>
            <a:t> </a:t>
          </a:r>
          <a:r>
            <a:rPr lang="en-US" sz="4400" b="1">
              <a:solidFill>
                <a:srgbClr val="002060"/>
              </a:solidFill>
              <a:latin typeface="Amasis MT Pro Medium" panose="02040604050005020304" pitchFamily="18" charset="0"/>
              <a:ea typeface="ADLaM Display" panose="02010000000000000000" pitchFamily="2" charset="0"/>
              <a:cs typeface="Aharoni" panose="020F0502020204030204" pitchFamily="2" charset="-79"/>
            </a:rPr>
            <a:t>List</a:t>
          </a:r>
        </a:p>
      </xdr:txBody>
    </xdr:sp>
    <xdr:clientData/>
  </xdr:twoCellAnchor>
  <xdr:twoCellAnchor editAs="oneCell">
    <xdr:from>
      <xdr:col>31</xdr:col>
      <xdr:colOff>325891</xdr:colOff>
      <xdr:row>9</xdr:row>
      <xdr:rowOff>153026</xdr:rowOff>
    </xdr:from>
    <xdr:to>
      <xdr:col>32</xdr:col>
      <xdr:colOff>617245</xdr:colOff>
      <xdr:row>15</xdr:row>
      <xdr:rowOff>40968</xdr:rowOff>
    </xdr:to>
    <xdr:pic>
      <xdr:nvPicPr>
        <xdr:cNvPr id="26" name="Graphic 25" descr="Excellent with solid fill">
          <a:extLst>
            <a:ext uri="{FF2B5EF4-FFF2-40B4-BE49-F238E27FC236}">
              <a16:creationId xmlns:a16="http://schemas.microsoft.com/office/drawing/2014/main" id="{A06FA4AA-D694-4702-CB54-F00129590DF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3865956" y="1701607"/>
          <a:ext cx="963224" cy="920329"/>
        </a:xfrm>
        <a:prstGeom prst="rect">
          <a:avLst/>
        </a:prstGeom>
      </xdr:spPr>
    </xdr:pic>
    <xdr:clientData/>
  </xdr:twoCellAnchor>
  <xdr:twoCellAnchor editAs="oneCell">
    <xdr:from>
      <xdr:col>40</xdr:col>
      <xdr:colOff>584326</xdr:colOff>
      <xdr:row>9</xdr:row>
      <xdr:rowOff>168785</xdr:rowOff>
    </xdr:from>
    <xdr:to>
      <xdr:col>42</xdr:col>
      <xdr:colOff>203327</xdr:colOff>
      <xdr:row>15</xdr:row>
      <xdr:rowOff>56727</xdr:rowOff>
    </xdr:to>
    <xdr:pic>
      <xdr:nvPicPr>
        <xdr:cNvPr id="33" name="Graphic 32" descr="Excellent with solid fill">
          <a:extLst>
            <a:ext uri="{FF2B5EF4-FFF2-40B4-BE49-F238E27FC236}">
              <a16:creationId xmlns:a16="http://schemas.microsoft.com/office/drawing/2014/main" id="{13C4ED27-CA01-45E0-8557-8B2CE0D9E7A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0171229" y="1717366"/>
          <a:ext cx="962743" cy="920329"/>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0.23668</cdr:x>
      <cdr:y>0.02173</cdr:y>
    </cdr:from>
    <cdr:to>
      <cdr:x>1</cdr:x>
      <cdr:y>0.25178</cdr:y>
    </cdr:to>
    <cdr:sp macro="" textlink="">
      <cdr:nvSpPr>
        <cdr:cNvPr id="2" name="TextBox 1">
          <a:extLst xmlns:a="http://schemas.openxmlformats.org/drawingml/2006/main">
            <a:ext uri="{FF2B5EF4-FFF2-40B4-BE49-F238E27FC236}">
              <a16:creationId xmlns:a16="http://schemas.microsoft.com/office/drawing/2014/main" id="{3B1C2ECA-1790-EBBD-B1D8-16067671D05D}"/>
            </a:ext>
          </a:extLst>
        </cdr:cNvPr>
        <cdr:cNvSpPr txBox="1"/>
      </cdr:nvSpPr>
      <cdr:spPr>
        <a:xfrm xmlns:a="http://schemas.openxmlformats.org/drawingml/2006/main">
          <a:off x="1665528" y="96672"/>
          <a:ext cx="5371564" cy="102343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600" b="1" i="0" u="none" strike="noStrike" kern="1200" cap="all" spc="120" normalizeH="0" baseline="0">
              <a:solidFill>
                <a:schemeClr val="tx1">
                  <a:lumMod val="95000"/>
                  <a:lumOff val="5000"/>
                </a:schemeClr>
              </a:solidFill>
              <a:latin typeface="+mn-lt"/>
              <a:ea typeface="+mn-ea"/>
              <a:cs typeface="+mn-cs"/>
            </a:rPr>
            <a:t>GENDER-BASED ANALYSIS PER DEPARTMENT  </a:t>
          </a:r>
        </a:p>
        <a:p xmlns:a="http://schemas.openxmlformats.org/drawingml/2006/main">
          <a:pPr marL="0" indent="0"/>
          <a:endParaRPr lang="en-US" sz="1600" b="1" i="0" u="none" strike="noStrike" kern="1200" cap="all" spc="120" normalizeH="0" baseline="0">
            <a:solidFill>
              <a:schemeClr val="tx1">
                <a:lumMod val="95000"/>
                <a:lumOff val="5000"/>
              </a:schemeClr>
            </a:solidFill>
            <a:latin typeface="+mn-lt"/>
            <a:ea typeface="+mn-ea"/>
            <a:cs typeface="+mn-cs"/>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 sammour" refreshedDate="46037.18305" missingItemsLimit="0" createdVersion="8" refreshedVersion="8" minRefreshableVersion="3" recordCount="200" xr:uid="{804D550B-D388-4BF2-8EFD-D97A8A82C761}">
  <cacheSource type="worksheet">
    <worksheetSource name="Table1"/>
  </cacheSource>
  <cacheFields count="10">
    <cacheField name="StudentID" numFmtId="0">
      <sharedItems containsSemiMixedTypes="0" containsString="0" containsNumber="1" containsInteger="1" minValue="1066" maxValue="9985"/>
    </cacheField>
    <cacheField name="Name" numFmtId="0">
      <sharedItems count="200">
        <s v="David Palmer"/>
        <s v="Andrew Roach"/>
        <s v="Jonathan Gonzalez"/>
        <s v="Kenneth Morrow"/>
        <s v="Kaitlyn Martinez"/>
        <s v="Tiffany Wolf"/>
        <s v="James Reyes"/>
        <s v="Samantha Sellers"/>
        <s v="Michael Kim"/>
        <s v="Emily Davis"/>
        <s v="Adam Evans"/>
        <s v="Alejandra Galloway"/>
        <s v="Cindy Johnston"/>
        <s v="Taylor Krueger II"/>
        <s v="Kimberly Vang"/>
        <s v="Alex Allen"/>
        <s v="Dawn Caldwell"/>
        <s v="Connie Cline"/>
        <s v="Christine Smith"/>
        <s v="Dana Burke"/>
        <s v="Suzanne Lopez"/>
        <s v="Meagan Thompson"/>
        <s v="Erica Welch"/>
        <s v="Debra Reilly"/>
        <s v="Rachel Hill"/>
        <s v="Lauren Hill"/>
        <s v="Andrea Castro"/>
        <s v="Sarah Cruz"/>
        <s v="Teresa Patrick PhD"/>
        <s v="Brittany Thompson"/>
        <s v="Sean Wells"/>
        <s v="Robert Simmons"/>
        <s v="William Holt"/>
        <s v="Brandon Garcia"/>
        <s v="Alexander Jones"/>
        <s v="William Anderson"/>
        <s v="Shawna Glover"/>
        <s v="Susan Galvan"/>
        <s v="Jason King"/>
        <s v="Alexander Simmons"/>
        <s v="James Moore"/>
        <s v="Frank Garza"/>
        <s v="Cynthia Parker DVM"/>
        <s v="Robert Smith"/>
        <s v="Marie Valdez"/>
        <s v="Patty Duke"/>
        <s v="Teresa Lucas"/>
        <s v="Melanie Lowe"/>
        <s v="Isaiah Morales"/>
        <s v="Connor Fry"/>
        <s v="Autumn Nguyen"/>
        <s v="Jasmin Pena"/>
        <s v="Mrs. Carol Williams MD"/>
        <s v="Andrew Lutz"/>
        <s v="Julie Martin"/>
        <s v="Lisa Brown"/>
        <s v="Holly King"/>
        <s v="Ricky Sanders"/>
        <s v="Gary Taylor"/>
        <s v="Arthur Thornton"/>
        <s v="Eric Leonard"/>
        <s v="William Smith"/>
        <s v="Daniel Daniel"/>
        <s v="Joel Nicholson"/>
        <s v="Benjamin Burke"/>
        <s v="Brandi Roberts"/>
        <s v="Patrick Anderson"/>
        <s v="Jerry Butler"/>
        <s v="Cynthia Garrett"/>
        <s v="Carrie Hall"/>
        <s v="Paul Brown"/>
        <s v="William Villarreal"/>
        <s v="Randy Pittman"/>
        <s v="Alexandra Roth"/>
        <s v="Stephanie Mitchell"/>
        <s v="Michelle Kemp"/>
        <s v="Corey Hicks"/>
        <s v="Melinda Hancock"/>
        <s v="Julian Smith"/>
        <s v="Brooke Davis"/>
        <s v="Diane Williams"/>
        <s v="Stephanie Beck"/>
        <s v="Joe Kim"/>
        <s v="Tammy Byrd"/>
        <s v="Scott Gomez"/>
        <s v="Sean Davis"/>
        <s v="Luis Hunter"/>
        <s v="Rachel Mahoney MD"/>
        <s v="Christina Woodward"/>
        <s v="Shawna Moore"/>
        <s v="Stacy Jones"/>
        <s v="Ms. Susan Suarez"/>
        <s v="Donna Briggs"/>
        <s v="Tiffany Russell"/>
        <s v="Shawn Phillips"/>
        <s v="Peter Wilson"/>
        <s v="Joe Bernard"/>
        <s v="Brittany Hamilton"/>
        <s v="Maria Rogers"/>
        <s v="Rebecca Miller"/>
        <s v="Bryan Velazquez"/>
        <s v="William Montgomery"/>
        <s v="Robert Berg"/>
        <s v="Peter White"/>
        <s v="Ashley Garcia"/>
        <s v="Brandon Smith"/>
        <s v="Kristen Orozco"/>
        <s v="Joanna Logan"/>
        <s v="Mark Harper"/>
        <s v="Jaime Hanson"/>
        <s v="Johnathan Morris"/>
        <s v="Jeffrey Sosa"/>
        <s v="Mitchell Sharp"/>
        <s v="Jose Peters"/>
        <s v="Jeffrey Torres"/>
        <s v="Noah Lee"/>
        <s v="Jeremy Graham"/>
        <s v="Mary Harrison"/>
        <s v="Meghan Roy"/>
        <s v="Kevin Moore"/>
        <s v="Pedro Roth"/>
        <s v="Holly Donaldson"/>
        <s v="Patricia Boyer"/>
        <s v="Alexander Mccarty"/>
        <s v="Michael Baldwin DDS"/>
        <s v="Anna Harper"/>
        <s v="Steve Green"/>
        <s v="Edwin Boyd"/>
        <s v="Emily Chambers"/>
        <s v="Hunter Martinez"/>
        <s v="Victor Moss"/>
        <s v="Kelly Lucas"/>
        <s v="Reginald Richardson"/>
        <s v="Patrick Sanchez"/>
        <s v="Michelle Chen DDS"/>
        <s v="Richard Sherman"/>
        <s v="Robert Williams"/>
        <s v="Samuel Alexander"/>
        <s v="Anthony Graham"/>
        <s v="Dr. Lynn Hoffman"/>
        <s v="Miss April Howard"/>
        <s v="Tyler Rodriguez"/>
        <s v="Kevin Bowman"/>
        <s v="Christopher Henry"/>
        <s v="Joshua Richardson"/>
        <s v="Amy Washington"/>
        <s v="Amanda Cook"/>
        <s v="Scott Montes"/>
        <s v="Sean Thomas"/>
        <s v="Amanda Roberts"/>
        <s v="Joanna Rose"/>
        <s v="Willie Russell"/>
        <s v="Peter Day"/>
        <s v="Matthew Sherman"/>
        <s v="Stephanie Moore DDS"/>
        <s v="Brandon Fletcher"/>
        <s v="Ryan Thomas"/>
        <s v="Mrs. Amber Luna DVM"/>
        <s v="Crystal Fry"/>
        <s v="William Le"/>
        <s v="Antonio Carter"/>
        <s v="Beth Abbott"/>
        <s v="Christine Howard"/>
        <s v="Chelsea Arellano"/>
        <s v="Stacy Rodriguez"/>
        <s v="Shannon Green"/>
        <s v="Donna Reed"/>
        <s v="Michelle Wang"/>
        <s v="Thomas Barker"/>
        <s v="Kimberly Cline"/>
        <s v="Clinton Weber"/>
        <s v="Lindsay Murphy"/>
        <s v="Mallory May"/>
        <s v="Larry Torres"/>
        <s v="Tina Mccormick"/>
        <s v="Brian Sampson"/>
        <s v="Christine Park"/>
        <s v="Vicki Lewis"/>
        <s v="Matthew Black"/>
        <s v="Felicia Lee"/>
        <s v="James Black"/>
        <s v="James Mitchell"/>
        <s v="Alexander Mcconnell"/>
        <s v="Danielle Clark"/>
        <s v="Robert Foster"/>
        <s v="Gary Clark"/>
        <s v="Cynthia Martin"/>
        <s v="Brianna Cunningham"/>
        <s v="Dr. Jesus Johnson"/>
        <s v="Jessica Jarvis"/>
        <s v="Theresa Hensley"/>
        <s v="James Mckee"/>
        <s v="Jonathan Blanchard"/>
        <s v="Melissa Estrada"/>
        <s v="John Gallagher"/>
        <s v="Catherine Velasquez"/>
        <s v="Joyce Thomas"/>
        <s v="Theresa Hughes"/>
        <s v="Steven Golden"/>
        <s v="Miss April Smith"/>
      </sharedItems>
    </cacheField>
    <cacheField name="Age" numFmtId="0">
      <sharedItems containsSemiMixedTypes="0" containsString="0" containsNumber="1" containsInteger="1" minValue="18" maxValue="25" count="8">
        <n v="19"/>
        <n v="23"/>
        <n v="22"/>
        <n v="24"/>
        <n v="18"/>
        <n v="20"/>
        <n v="25"/>
        <n v="21"/>
      </sharedItems>
    </cacheField>
    <cacheField name="Email" numFmtId="0">
      <sharedItems/>
    </cacheField>
    <cacheField name="Department" numFmtId="0">
      <sharedItems count="5">
        <s v="Mathematics"/>
        <s v="Chemistry"/>
        <s v="Physics"/>
        <s v="Computer Science"/>
        <s v="Biology"/>
      </sharedItems>
    </cacheField>
    <cacheField name="GPA" numFmtId="0">
      <sharedItems containsSemiMixedTypes="0" containsString="0" containsNumber="1" minValue="2" maxValue="3.99"/>
    </cacheField>
    <cacheField name="GraduationYear" numFmtId="0">
      <sharedItems containsSemiMixedTypes="0" containsString="0" containsNumber="1" containsInteger="1" minValue="2024" maxValue="2030" count="7">
        <n v="2026"/>
        <n v="2027"/>
        <n v="2029"/>
        <n v="2025"/>
        <n v="2030"/>
        <n v="2024"/>
        <n v="2028"/>
      </sharedItems>
    </cacheField>
    <cacheField name="Attendance" numFmtId="0">
      <sharedItems containsSemiMixedTypes="0" containsString="0" containsNumber="1" minValue="60" maxValue="99.96"/>
    </cacheField>
    <cacheField name="Mode of Study" numFmtId="0">
      <sharedItems count="2">
        <s v="FULL TIME"/>
        <s v="PART TIME"/>
      </sharedItems>
    </cacheField>
    <cacheField name="Gender" numFmtId="0">
      <sharedItems count="2">
        <s v="Male"/>
        <s v="Female"/>
      </sharedItems>
    </cacheField>
  </cacheFields>
  <extLst>
    <ext xmlns:x14="http://schemas.microsoft.com/office/spreadsheetml/2009/9/main" uri="{725AE2AE-9491-48be-B2B4-4EB974FC3084}">
      <x14:pivotCacheDefinition pivotCacheId="1946916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3336"/>
    <x v="0"/>
    <x v="0"/>
    <s v="sean43@hotmail.com"/>
    <x v="0"/>
    <n v="3.16"/>
    <x v="0"/>
    <n v="68.430000000000007"/>
    <x v="0"/>
    <x v="0"/>
  </r>
  <r>
    <n v="8774"/>
    <x v="1"/>
    <x v="1"/>
    <s v="vbecker@harvey.com"/>
    <x v="1"/>
    <n v="3.75"/>
    <x v="1"/>
    <n v="76.849999999999994"/>
    <x v="0"/>
    <x v="0"/>
  </r>
  <r>
    <n v="1396"/>
    <x v="2"/>
    <x v="2"/>
    <s v="hollydavis@gmail.com"/>
    <x v="2"/>
    <n v="2.95"/>
    <x v="1"/>
    <n v="68.72"/>
    <x v="0"/>
    <x v="1"/>
  </r>
  <r>
    <n v="6716"/>
    <x v="3"/>
    <x v="3"/>
    <s v="ganderson@wheeler-atkins.info"/>
    <x v="2"/>
    <n v="3.55"/>
    <x v="2"/>
    <n v="93.83"/>
    <x v="0"/>
    <x v="0"/>
  </r>
  <r>
    <n v="8830"/>
    <x v="4"/>
    <x v="4"/>
    <s v="hayesdiane@gmail.com"/>
    <x v="1"/>
    <n v="2.29"/>
    <x v="3"/>
    <n v="78.25"/>
    <x v="0"/>
    <x v="1"/>
  </r>
  <r>
    <n v="5305"/>
    <x v="5"/>
    <x v="1"/>
    <s v="qanderson@taylor.com"/>
    <x v="0"/>
    <n v="3.3"/>
    <x v="2"/>
    <n v="71.19"/>
    <x v="0"/>
    <x v="0"/>
  </r>
  <r>
    <n v="5048"/>
    <x v="6"/>
    <x v="5"/>
    <s v="drodriguez@nguyen-cooper.info"/>
    <x v="1"/>
    <n v="2.44"/>
    <x v="2"/>
    <n v="97.32"/>
    <x v="0"/>
    <x v="0"/>
  </r>
  <r>
    <n v="5986"/>
    <x v="7"/>
    <x v="5"/>
    <s v="michelle27@hubbard-webster.com"/>
    <x v="0"/>
    <n v="3.44"/>
    <x v="3"/>
    <n v="72.569999999999993"/>
    <x v="0"/>
    <x v="1"/>
  </r>
  <r>
    <n v="8721"/>
    <x v="8"/>
    <x v="6"/>
    <s v="jacksonhannah@miles.com"/>
    <x v="3"/>
    <n v="3.27"/>
    <x v="1"/>
    <n v="96.39"/>
    <x v="0"/>
    <x v="0"/>
  </r>
  <r>
    <n v="6622"/>
    <x v="9"/>
    <x v="4"/>
    <s v="george02@hotmail.com"/>
    <x v="2"/>
    <n v="3.09"/>
    <x v="4"/>
    <n v="61.74"/>
    <x v="0"/>
    <x v="1"/>
  </r>
  <r>
    <n v="3254"/>
    <x v="10"/>
    <x v="5"/>
    <s v="bryantmargaret@hernandez.com"/>
    <x v="2"/>
    <n v="3.42"/>
    <x v="0"/>
    <n v="88.28"/>
    <x v="0"/>
    <x v="0"/>
  </r>
  <r>
    <n v="8021"/>
    <x v="11"/>
    <x v="5"/>
    <s v="danielpowers@schmidt.com"/>
    <x v="1"/>
    <n v="2.33"/>
    <x v="1"/>
    <n v="79.36"/>
    <x v="0"/>
    <x v="0"/>
  </r>
  <r>
    <n v="9477"/>
    <x v="12"/>
    <x v="2"/>
    <s v="james96@webb.org"/>
    <x v="0"/>
    <n v="3.76"/>
    <x v="3"/>
    <n v="77.77"/>
    <x v="0"/>
    <x v="0"/>
  </r>
  <r>
    <n v="9144"/>
    <x v="13"/>
    <x v="5"/>
    <s v="hleon@smith.net"/>
    <x v="3"/>
    <n v="2.02"/>
    <x v="3"/>
    <n v="61.45"/>
    <x v="0"/>
    <x v="0"/>
  </r>
  <r>
    <n v="4854"/>
    <x v="14"/>
    <x v="1"/>
    <s v="carolyn34@yahoo.com"/>
    <x v="3"/>
    <n v="3.35"/>
    <x v="4"/>
    <n v="61.63"/>
    <x v="0"/>
    <x v="1"/>
  </r>
  <r>
    <n v="3690"/>
    <x v="15"/>
    <x v="3"/>
    <s v="shawkaren@smith.net"/>
    <x v="2"/>
    <n v="3.21"/>
    <x v="2"/>
    <n v="73.31"/>
    <x v="0"/>
    <x v="1"/>
  </r>
  <r>
    <n v="4462"/>
    <x v="16"/>
    <x v="3"/>
    <s v="kelly96@gmail.com"/>
    <x v="3"/>
    <n v="3.92"/>
    <x v="1"/>
    <n v="97.88"/>
    <x v="0"/>
    <x v="1"/>
  </r>
  <r>
    <n v="3255"/>
    <x v="17"/>
    <x v="2"/>
    <s v="patelmercedes@green.com"/>
    <x v="1"/>
    <n v="3.42"/>
    <x v="5"/>
    <n v="84.71"/>
    <x v="0"/>
    <x v="0"/>
  </r>
  <r>
    <n v="5446"/>
    <x v="18"/>
    <x v="7"/>
    <s v="nicholasmejia@hotmail.com"/>
    <x v="3"/>
    <n v="3.43"/>
    <x v="1"/>
    <n v="74.75"/>
    <x v="1"/>
    <x v="0"/>
  </r>
  <r>
    <n v="8125"/>
    <x v="19"/>
    <x v="1"/>
    <s v="davismichael@yahoo.com"/>
    <x v="2"/>
    <n v="2.0499999999999998"/>
    <x v="3"/>
    <n v="84.48"/>
    <x v="1"/>
    <x v="0"/>
  </r>
  <r>
    <n v="3052"/>
    <x v="20"/>
    <x v="4"/>
    <s v="thomasbennett@gmail.com"/>
    <x v="3"/>
    <n v="2.33"/>
    <x v="3"/>
    <n v="68.25"/>
    <x v="0"/>
    <x v="0"/>
  </r>
  <r>
    <n v="2602"/>
    <x v="21"/>
    <x v="1"/>
    <s v="robert13@gmail.com"/>
    <x v="2"/>
    <n v="3.68"/>
    <x v="6"/>
    <n v="66.599999999999994"/>
    <x v="0"/>
    <x v="1"/>
  </r>
  <r>
    <n v="1866"/>
    <x v="22"/>
    <x v="6"/>
    <s v="hernandezbrent@delgado-terry.com"/>
    <x v="0"/>
    <n v="3.84"/>
    <x v="6"/>
    <n v="74.47"/>
    <x v="0"/>
    <x v="1"/>
  </r>
  <r>
    <n v="4908"/>
    <x v="23"/>
    <x v="7"/>
    <s v="amy78@jackson.com"/>
    <x v="1"/>
    <n v="3.82"/>
    <x v="1"/>
    <n v="94.53"/>
    <x v="0"/>
    <x v="0"/>
  </r>
  <r>
    <n v="6711"/>
    <x v="24"/>
    <x v="2"/>
    <s v="elizabeth41@hill-johnson.com"/>
    <x v="3"/>
    <n v="2.99"/>
    <x v="0"/>
    <n v="80.38"/>
    <x v="0"/>
    <x v="0"/>
  </r>
  <r>
    <n v="1165"/>
    <x v="25"/>
    <x v="2"/>
    <s v="timothy00@lopez.com"/>
    <x v="4"/>
    <n v="2.4900000000000002"/>
    <x v="5"/>
    <n v="71.88"/>
    <x v="0"/>
    <x v="0"/>
  </r>
  <r>
    <n v="7657"/>
    <x v="26"/>
    <x v="0"/>
    <s v="valvarez@hotmail.com"/>
    <x v="0"/>
    <n v="3.16"/>
    <x v="5"/>
    <n v="98.01"/>
    <x v="0"/>
    <x v="1"/>
  </r>
  <r>
    <n v="4776"/>
    <x v="27"/>
    <x v="3"/>
    <s v="melissa92@hicks.com"/>
    <x v="2"/>
    <n v="3.56"/>
    <x v="0"/>
    <n v="92.64"/>
    <x v="0"/>
    <x v="1"/>
  </r>
  <r>
    <n v="5711"/>
    <x v="28"/>
    <x v="6"/>
    <s v="hbrooks@nelson-bennett.info"/>
    <x v="2"/>
    <n v="3.58"/>
    <x v="4"/>
    <n v="72.92"/>
    <x v="0"/>
    <x v="1"/>
  </r>
  <r>
    <n v="8511"/>
    <x v="29"/>
    <x v="0"/>
    <s v="chavezallison@yahoo.com"/>
    <x v="1"/>
    <n v="2.82"/>
    <x v="5"/>
    <n v="98.88"/>
    <x v="0"/>
    <x v="1"/>
  </r>
  <r>
    <n v="4009"/>
    <x v="30"/>
    <x v="7"/>
    <s v="barreracourtney@nguyen.com"/>
    <x v="2"/>
    <n v="2.98"/>
    <x v="2"/>
    <n v="99.49"/>
    <x v="0"/>
    <x v="1"/>
  </r>
  <r>
    <n v="7998"/>
    <x v="31"/>
    <x v="3"/>
    <s v="daniel00@gmail.com"/>
    <x v="1"/>
    <n v="3.21"/>
    <x v="4"/>
    <n v="76.349999999999994"/>
    <x v="0"/>
    <x v="1"/>
  </r>
  <r>
    <n v="5676"/>
    <x v="32"/>
    <x v="2"/>
    <s v="warrensmith@yahoo.com"/>
    <x v="1"/>
    <n v="2.15"/>
    <x v="4"/>
    <n v="86.24"/>
    <x v="1"/>
    <x v="1"/>
  </r>
  <r>
    <n v="8134"/>
    <x v="33"/>
    <x v="0"/>
    <s v="brandon58@cummings-johnson.biz"/>
    <x v="3"/>
    <n v="2.73"/>
    <x v="4"/>
    <n v="76.23"/>
    <x v="0"/>
    <x v="1"/>
  </r>
  <r>
    <n v="5119"/>
    <x v="34"/>
    <x v="6"/>
    <s v="emily28@hotmail.com"/>
    <x v="2"/>
    <n v="2.92"/>
    <x v="5"/>
    <n v="70.290000000000006"/>
    <x v="0"/>
    <x v="1"/>
  </r>
  <r>
    <n v="7304"/>
    <x v="35"/>
    <x v="6"/>
    <s v="jacob29@gmail.com"/>
    <x v="0"/>
    <n v="3.51"/>
    <x v="5"/>
    <n v="63.31"/>
    <x v="0"/>
    <x v="1"/>
  </r>
  <r>
    <n v="3663"/>
    <x v="36"/>
    <x v="0"/>
    <s v="alison62@barrett.com"/>
    <x v="4"/>
    <n v="2.75"/>
    <x v="6"/>
    <n v="70.540000000000006"/>
    <x v="0"/>
    <x v="0"/>
  </r>
  <r>
    <n v="6423"/>
    <x v="37"/>
    <x v="2"/>
    <s v="theresa04@gmail.com"/>
    <x v="1"/>
    <n v="3.26"/>
    <x v="6"/>
    <n v="70.86"/>
    <x v="0"/>
    <x v="0"/>
  </r>
  <r>
    <n v="5155"/>
    <x v="38"/>
    <x v="3"/>
    <s v="oliviawalls@hotmail.com"/>
    <x v="1"/>
    <n v="3.74"/>
    <x v="5"/>
    <n v="75.95"/>
    <x v="0"/>
    <x v="0"/>
  </r>
  <r>
    <n v="1066"/>
    <x v="39"/>
    <x v="0"/>
    <s v="jrodriguez@cox.info"/>
    <x v="4"/>
    <n v="3.26"/>
    <x v="6"/>
    <n v="67.400000000000006"/>
    <x v="0"/>
    <x v="0"/>
  </r>
  <r>
    <n v="5773"/>
    <x v="40"/>
    <x v="3"/>
    <s v="daniel72@long.com"/>
    <x v="2"/>
    <n v="2.37"/>
    <x v="5"/>
    <n v="98.15"/>
    <x v="0"/>
    <x v="0"/>
  </r>
  <r>
    <n v="8417"/>
    <x v="41"/>
    <x v="0"/>
    <s v="jennifer82@cruz.com"/>
    <x v="0"/>
    <n v="2.67"/>
    <x v="1"/>
    <n v="64.12"/>
    <x v="0"/>
    <x v="0"/>
  </r>
  <r>
    <n v="4235"/>
    <x v="42"/>
    <x v="2"/>
    <s v="jasminelewis@washington.com"/>
    <x v="0"/>
    <n v="2.02"/>
    <x v="6"/>
    <n v="85.01"/>
    <x v="0"/>
    <x v="0"/>
  </r>
  <r>
    <n v="7002"/>
    <x v="43"/>
    <x v="4"/>
    <s v="amanda74@gmail.com"/>
    <x v="1"/>
    <n v="2.7"/>
    <x v="6"/>
    <n v="77.67"/>
    <x v="0"/>
    <x v="0"/>
  </r>
  <r>
    <n v="5998"/>
    <x v="44"/>
    <x v="4"/>
    <s v="xwarner@nelson.com"/>
    <x v="3"/>
    <n v="3.5"/>
    <x v="4"/>
    <n v="76.94"/>
    <x v="0"/>
    <x v="0"/>
  </r>
  <r>
    <n v="9661"/>
    <x v="45"/>
    <x v="4"/>
    <s v="sparksanna@gmail.com"/>
    <x v="1"/>
    <n v="3.6"/>
    <x v="1"/>
    <n v="74.88"/>
    <x v="0"/>
    <x v="0"/>
  </r>
  <r>
    <n v="5144"/>
    <x v="46"/>
    <x v="5"/>
    <s v="epatel@edwards-smith.info"/>
    <x v="4"/>
    <n v="3.47"/>
    <x v="2"/>
    <n v="94.73"/>
    <x v="0"/>
    <x v="0"/>
  </r>
  <r>
    <n v="3719"/>
    <x v="47"/>
    <x v="6"/>
    <s v="nicolepruitt@bell-gibson.org"/>
    <x v="3"/>
    <n v="3.05"/>
    <x v="4"/>
    <n v="71.22"/>
    <x v="0"/>
    <x v="1"/>
  </r>
  <r>
    <n v="9310"/>
    <x v="48"/>
    <x v="6"/>
    <s v="lutzjason@neal.biz"/>
    <x v="2"/>
    <n v="3.06"/>
    <x v="3"/>
    <n v="60.82"/>
    <x v="0"/>
    <x v="0"/>
  </r>
  <r>
    <n v="9271"/>
    <x v="49"/>
    <x v="0"/>
    <s v="masseytom@gmail.com"/>
    <x v="1"/>
    <n v="3.94"/>
    <x v="4"/>
    <n v="96.72"/>
    <x v="0"/>
    <x v="1"/>
  </r>
  <r>
    <n v="4603"/>
    <x v="50"/>
    <x v="2"/>
    <s v="john53@hotmail.com"/>
    <x v="0"/>
    <n v="2.13"/>
    <x v="4"/>
    <n v="94.58"/>
    <x v="0"/>
    <x v="0"/>
  </r>
  <r>
    <n v="5001"/>
    <x v="51"/>
    <x v="1"/>
    <s v="ajackson@hotmail.com"/>
    <x v="1"/>
    <n v="3.64"/>
    <x v="3"/>
    <n v="71.08"/>
    <x v="0"/>
    <x v="1"/>
  </r>
  <r>
    <n v="5618"/>
    <x v="52"/>
    <x v="2"/>
    <s v="janice01@yahoo.com"/>
    <x v="2"/>
    <n v="3.56"/>
    <x v="1"/>
    <n v="80.94"/>
    <x v="0"/>
    <x v="1"/>
  </r>
  <r>
    <n v="3205"/>
    <x v="53"/>
    <x v="5"/>
    <s v="patrick16@yahoo.com"/>
    <x v="1"/>
    <n v="3.16"/>
    <x v="2"/>
    <n v="64.36"/>
    <x v="0"/>
    <x v="0"/>
  </r>
  <r>
    <n v="8431"/>
    <x v="54"/>
    <x v="6"/>
    <s v="angelawilliams@gmail.com"/>
    <x v="1"/>
    <n v="3.56"/>
    <x v="4"/>
    <n v="63.74"/>
    <x v="0"/>
    <x v="1"/>
  </r>
  <r>
    <n v="4604"/>
    <x v="55"/>
    <x v="0"/>
    <s v="annette64@gmail.com"/>
    <x v="2"/>
    <n v="2.81"/>
    <x v="3"/>
    <n v="93.5"/>
    <x v="0"/>
    <x v="1"/>
  </r>
  <r>
    <n v="7287"/>
    <x v="56"/>
    <x v="1"/>
    <s v="williamsjack@randolph.com"/>
    <x v="1"/>
    <n v="2.94"/>
    <x v="5"/>
    <n v="76.41"/>
    <x v="0"/>
    <x v="0"/>
  </r>
  <r>
    <n v="3481"/>
    <x v="57"/>
    <x v="0"/>
    <s v="buckleyandrew@gmail.com"/>
    <x v="3"/>
    <n v="3.8"/>
    <x v="1"/>
    <n v="86.47"/>
    <x v="0"/>
    <x v="0"/>
  </r>
  <r>
    <n v="3068"/>
    <x v="58"/>
    <x v="7"/>
    <s v="veronicarogers@yahoo.com"/>
    <x v="0"/>
    <n v="2.62"/>
    <x v="4"/>
    <n v="97.73"/>
    <x v="0"/>
    <x v="0"/>
  </r>
  <r>
    <n v="4514"/>
    <x v="59"/>
    <x v="6"/>
    <s v="kirstenowen@yahoo.com"/>
    <x v="4"/>
    <n v="2.1"/>
    <x v="5"/>
    <n v="69.81"/>
    <x v="0"/>
    <x v="0"/>
  </r>
  <r>
    <n v="2499"/>
    <x v="60"/>
    <x v="1"/>
    <s v="theresarosales@gmail.com"/>
    <x v="4"/>
    <n v="2.39"/>
    <x v="1"/>
    <n v="60.53"/>
    <x v="0"/>
    <x v="0"/>
  </r>
  <r>
    <n v="5212"/>
    <x v="61"/>
    <x v="1"/>
    <s v="daniel93@lee-morris.com"/>
    <x v="0"/>
    <n v="3.29"/>
    <x v="6"/>
    <n v="60.97"/>
    <x v="0"/>
    <x v="0"/>
  </r>
  <r>
    <n v="5550"/>
    <x v="62"/>
    <x v="2"/>
    <s v="christianbrown@yahoo.com"/>
    <x v="2"/>
    <n v="3.51"/>
    <x v="1"/>
    <n v="88.38"/>
    <x v="0"/>
    <x v="0"/>
  </r>
  <r>
    <n v="8265"/>
    <x v="63"/>
    <x v="3"/>
    <s v="michaelpratt@murray.net"/>
    <x v="1"/>
    <n v="2.79"/>
    <x v="1"/>
    <n v="96.98"/>
    <x v="0"/>
    <x v="0"/>
  </r>
  <r>
    <n v="6398"/>
    <x v="64"/>
    <x v="4"/>
    <s v="colemary@cochran.net"/>
    <x v="3"/>
    <n v="2.4700000000000002"/>
    <x v="3"/>
    <n v="78.69"/>
    <x v="0"/>
    <x v="0"/>
  </r>
  <r>
    <n v="2706"/>
    <x v="65"/>
    <x v="3"/>
    <s v="joshua76@yahoo.com"/>
    <x v="3"/>
    <n v="3.88"/>
    <x v="3"/>
    <n v="75"/>
    <x v="0"/>
    <x v="0"/>
  </r>
  <r>
    <n v="9410"/>
    <x v="66"/>
    <x v="0"/>
    <s v="meganlewis@butler-bright.com"/>
    <x v="3"/>
    <n v="2.75"/>
    <x v="2"/>
    <n v="81.709999999999994"/>
    <x v="1"/>
    <x v="1"/>
  </r>
  <r>
    <n v="5851"/>
    <x v="67"/>
    <x v="0"/>
    <s v="sherri94@hines.net"/>
    <x v="3"/>
    <n v="2.1800000000000002"/>
    <x v="4"/>
    <n v="94.36"/>
    <x v="0"/>
    <x v="1"/>
  </r>
  <r>
    <n v="9842"/>
    <x v="68"/>
    <x v="0"/>
    <s v="rhall@gmail.com"/>
    <x v="0"/>
    <n v="3.18"/>
    <x v="1"/>
    <n v="86.09"/>
    <x v="0"/>
    <x v="1"/>
  </r>
  <r>
    <n v="6069"/>
    <x v="69"/>
    <x v="5"/>
    <s v="stewartlori@yahoo.com"/>
    <x v="1"/>
    <n v="2.33"/>
    <x v="2"/>
    <n v="69.319999999999993"/>
    <x v="0"/>
    <x v="0"/>
  </r>
  <r>
    <n v="7081"/>
    <x v="70"/>
    <x v="2"/>
    <s v="uyoder@miller.com"/>
    <x v="1"/>
    <n v="3.46"/>
    <x v="1"/>
    <n v="90.98"/>
    <x v="0"/>
    <x v="1"/>
  </r>
  <r>
    <n v="9812"/>
    <x v="71"/>
    <x v="5"/>
    <s v="petersoncheryl@davis-bush.com"/>
    <x v="2"/>
    <n v="3.92"/>
    <x v="4"/>
    <n v="65.38"/>
    <x v="0"/>
    <x v="1"/>
  </r>
  <r>
    <n v="1790"/>
    <x v="72"/>
    <x v="0"/>
    <s v="robin33@knapp.com"/>
    <x v="2"/>
    <n v="3.92"/>
    <x v="6"/>
    <n v="66.62"/>
    <x v="0"/>
    <x v="1"/>
  </r>
  <r>
    <n v="8268"/>
    <x v="73"/>
    <x v="5"/>
    <s v="kristin46@hotmail.com"/>
    <x v="0"/>
    <n v="2.87"/>
    <x v="3"/>
    <n v="84.51"/>
    <x v="0"/>
    <x v="1"/>
  </r>
  <r>
    <n v="1383"/>
    <x v="74"/>
    <x v="4"/>
    <s v="michellemoody@williams.com"/>
    <x v="1"/>
    <n v="3.68"/>
    <x v="0"/>
    <n v="69.55"/>
    <x v="0"/>
    <x v="0"/>
  </r>
  <r>
    <n v="4197"/>
    <x v="75"/>
    <x v="1"/>
    <s v="susanwilliams@hotmail.com"/>
    <x v="3"/>
    <n v="2.5299999999999998"/>
    <x v="6"/>
    <n v="88.19"/>
    <x v="0"/>
    <x v="0"/>
  </r>
  <r>
    <n v="4517"/>
    <x v="76"/>
    <x v="6"/>
    <s v="fosterglen@gmail.com"/>
    <x v="3"/>
    <n v="3.23"/>
    <x v="1"/>
    <n v="73.98"/>
    <x v="0"/>
    <x v="0"/>
  </r>
  <r>
    <n v="6733"/>
    <x v="77"/>
    <x v="6"/>
    <s v="linda93@gmail.com"/>
    <x v="4"/>
    <n v="2.6"/>
    <x v="0"/>
    <n v="71.099999999999994"/>
    <x v="0"/>
    <x v="1"/>
  </r>
  <r>
    <n v="5406"/>
    <x v="78"/>
    <x v="2"/>
    <s v="joseph78@gmail.com"/>
    <x v="3"/>
    <n v="3.84"/>
    <x v="2"/>
    <n v="99.96"/>
    <x v="0"/>
    <x v="1"/>
  </r>
  <r>
    <n v="5652"/>
    <x v="79"/>
    <x v="0"/>
    <s v="millerkevin@white.com"/>
    <x v="1"/>
    <n v="3.35"/>
    <x v="4"/>
    <n v="61.62"/>
    <x v="0"/>
    <x v="0"/>
  </r>
  <r>
    <n v="4846"/>
    <x v="80"/>
    <x v="5"/>
    <s v="zmclean@boyd.net"/>
    <x v="3"/>
    <n v="2.83"/>
    <x v="1"/>
    <n v="85.83"/>
    <x v="0"/>
    <x v="0"/>
  </r>
  <r>
    <n v="9806"/>
    <x v="81"/>
    <x v="4"/>
    <s v="rwinters@hotmail.com"/>
    <x v="4"/>
    <n v="2.74"/>
    <x v="6"/>
    <n v="61.55"/>
    <x v="0"/>
    <x v="1"/>
  </r>
  <r>
    <n v="8526"/>
    <x v="82"/>
    <x v="1"/>
    <s v="salinaschristine@gmail.com"/>
    <x v="0"/>
    <n v="3.5"/>
    <x v="0"/>
    <n v="90.41"/>
    <x v="0"/>
    <x v="0"/>
  </r>
  <r>
    <n v="3257"/>
    <x v="83"/>
    <x v="2"/>
    <s v="phillipsmith@gmail.com"/>
    <x v="0"/>
    <n v="3.67"/>
    <x v="1"/>
    <n v="69.2"/>
    <x v="0"/>
    <x v="0"/>
  </r>
  <r>
    <n v="1214"/>
    <x v="84"/>
    <x v="3"/>
    <s v="jacksonjulie@estrada.org"/>
    <x v="2"/>
    <n v="3.28"/>
    <x v="1"/>
    <n v="63.59"/>
    <x v="0"/>
    <x v="0"/>
  </r>
  <r>
    <n v="2921"/>
    <x v="85"/>
    <x v="3"/>
    <s v="tina80@miller-navarro.com"/>
    <x v="3"/>
    <n v="3.97"/>
    <x v="5"/>
    <n v="85.94"/>
    <x v="0"/>
    <x v="1"/>
  </r>
  <r>
    <n v="1853"/>
    <x v="86"/>
    <x v="0"/>
    <s v="uschultz@palmer-lambert.biz"/>
    <x v="4"/>
    <n v="3.07"/>
    <x v="1"/>
    <n v="89.3"/>
    <x v="0"/>
    <x v="0"/>
  </r>
  <r>
    <n v="4418"/>
    <x v="87"/>
    <x v="6"/>
    <s v="teresamitchell@hernandez.net"/>
    <x v="3"/>
    <n v="2.14"/>
    <x v="6"/>
    <n v="87.12"/>
    <x v="0"/>
    <x v="1"/>
  </r>
  <r>
    <n v="6729"/>
    <x v="88"/>
    <x v="4"/>
    <s v="juan08@yahoo.com"/>
    <x v="2"/>
    <n v="3.52"/>
    <x v="0"/>
    <n v="62.08"/>
    <x v="0"/>
    <x v="1"/>
  </r>
  <r>
    <n v="4509"/>
    <x v="89"/>
    <x v="7"/>
    <s v="joseyoung@richardson.net"/>
    <x v="2"/>
    <n v="3.16"/>
    <x v="5"/>
    <n v="71.77"/>
    <x v="0"/>
    <x v="0"/>
  </r>
  <r>
    <n v="8646"/>
    <x v="90"/>
    <x v="4"/>
    <s v="currymelissa@coleman-meza.info"/>
    <x v="0"/>
    <n v="2.84"/>
    <x v="6"/>
    <n v="78.040000000000006"/>
    <x v="0"/>
    <x v="0"/>
  </r>
  <r>
    <n v="4675"/>
    <x v="91"/>
    <x v="6"/>
    <s v="amanda13@smith.org"/>
    <x v="4"/>
    <n v="3.86"/>
    <x v="3"/>
    <n v="71.48"/>
    <x v="0"/>
    <x v="1"/>
  </r>
  <r>
    <n v="9291"/>
    <x v="92"/>
    <x v="1"/>
    <s v="avalenzuela@norris-wood.org"/>
    <x v="1"/>
    <n v="2.2999999999999998"/>
    <x v="6"/>
    <n v="92.42"/>
    <x v="0"/>
    <x v="0"/>
  </r>
  <r>
    <n v="8808"/>
    <x v="93"/>
    <x v="5"/>
    <s v="kimberly95@gmail.com"/>
    <x v="2"/>
    <n v="2.7"/>
    <x v="4"/>
    <n v="65.239999999999995"/>
    <x v="0"/>
    <x v="1"/>
  </r>
  <r>
    <n v="5441"/>
    <x v="94"/>
    <x v="6"/>
    <s v="mbass@hotmail.com"/>
    <x v="0"/>
    <n v="3.77"/>
    <x v="4"/>
    <n v="84.49"/>
    <x v="0"/>
    <x v="0"/>
  </r>
  <r>
    <n v="6001"/>
    <x v="95"/>
    <x v="2"/>
    <s v="qcantu@woods.info"/>
    <x v="1"/>
    <n v="3.39"/>
    <x v="5"/>
    <n v="99.53"/>
    <x v="0"/>
    <x v="0"/>
  </r>
  <r>
    <n v="5630"/>
    <x v="96"/>
    <x v="7"/>
    <s v="kimberly88@herring.info"/>
    <x v="1"/>
    <n v="3.2"/>
    <x v="5"/>
    <n v="96.1"/>
    <x v="1"/>
    <x v="0"/>
  </r>
  <r>
    <n v="4311"/>
    <x v="97"/>
    <x v="7"/>
    <s v="smithkaren@yahoo.com"/>
    <x v="4"/>
    <n v="3.95"/>
    <x v="5"/>
    <n v="68.89"/>
    <x v="0"/>
    <x v="0"/>
  </r>
  <r>
    <n v="6577"/>
    <x v="98"/>
    <x v="5"/>
    <s v="reneemartinez@hotmail.com"/>
    <x v="2"/>
    <n v="2.11"/>
    <x v="1"/>
    <n v="60"/>
    <x v="0"/>
    <x v="0"/>
  </r>
  <r>
    <n v="6809"/>
    <x v="99"/>
    <x v="1"/>
    <s v="michaelconner@hotmail.com"/>
    <x v="4"/>
    <n v="2.76"/>
    <x v="5"/>
    <n v="99.22"/>
    <x v="0"/>
    <x v="1"/>
  </r>
  <r>
    <n v="2318"/>
    <x v="100"/>
    <x v="6"/>
    <s v="bpowell@gmail.com"/>
    <x v="0"/>
    <n v="3"/>
    <x v="4"/>
    <n v="95.31"/>
    <x v="0"/>
    <x v="1"/>
  </r>
  <r>
    <n v="4948"/>
    <x v="101"/>
    <x v="2"/>
    <s v="chavezryan@smith.com"/>
    <x v="1"/>
    <n v="2.85"/>
    <x v="5"/>
    <n v="96.78"/>
    <x v="0"/>
    <x v="0"/>
  </r>
  <r>
    <n v="7574"/>
    <x v="102"/>
    <x v="3"/>
    <s v="stephensbrenda@perez.com"/>
    <x v="2"/>
    <n v="3.97"/>
    <x v="4"/>
    <n v="76.62"/>
    <x v="0"/>
    <x v="0"/>
  </r>
  <r>
    <n v="8155"/>
    <x v="103"/>
    <x v="1"/>
    <s v="goodwinrachel@burke.org"/>
    <x v="3"/>
    <n v="3.52"/>
    <x v="6"/>
    <n v="89.78"/>
    <x v="0"/>
    <x v="0"/>
  </r>
  <r>
    <n v="5776"/>
    <x v="104"/>
    <x v="5"/>
    <s v="daviscory@yahoo.com"/>
    <x v="2"/>
    <n v="3.37"/>
    <x v="4"/>
    <n v="68.510000000000005"/>
    <x v="0"/>
    <x v="0"/>
  </r>
  <r>
    <n v="1857"/>
    <x v="105"/>
    <x v="6"/>
    <s v="ortizjoseph@moore.com"/>
    <x v="3"/>
    <n v="3.41"/>
    <x v="3"/>
    <n v="75.69"/>
    <x v="0"/>
    <x v="0"/>
  </r>
  <r>
    <n v="1742"/>
    <x v="106"/>
    <x v="5"/>
    <s v="vbonilla@ho.com"/>
    <x v="4"/>
    <n v="2.86"/>
    <x v="4"/>
    <n v="94.06"/>
    <x v="0"/>
    <x v="0"/>
  </r>
  <r>
    <n v="4406"/>
    <x v="107"/>
    <x v="7"/>
    <s v="yflores@brooks.info"/>
    <x v="2"/>
    <n v="3.86"/>
    <x v="4"/>
    <n v="65.099999999999994"/>
    <x v="0"/>
    <x v="0"/>
  </r>
  <r>
    <n v="2800"/>
    <x v="108"/>
    <x v="0"/>
    <s v="mikayla15@chavez.com"/>
    <x v="3"/>
    <n v="2.99"/>
    <x v="2"/>
    <n v="95.75"/>
    <x v="0"/>
    <x v="1"/>
  </r>
  <r>
    <n v="1666"/>
    <x v="109"/>
    <x v="5"/>
    <s v="whitechristine@gonzalez.info"/>
    <x v="3"/>
    <n v="3.23"/>
    <x v="1"/>
    <n v="79.86"/>
    <x v="0"/>
    <x v="0"/>
  </r>
  <r>
    <n v="1328"/>
    <x v="110"/>
    <x v="7"/>
    <s v="cassiemcdonald@gmail.com"/>
    <x v="4"/>
    <n v="2.5099999999999998"/>
    <x v="4"/>
    <n v="77.040000000000006"/>
    <x v="0"/>
    <x v="1"/>
  </r>
  <r>
    <n v="7728"/>
    <x v="111"/>
    <x v="3"/>
    <s v="nhardin@thomas.com"/>
    <x v="3"/>
    <n v="2.38"/>
    <x v="3"/>
    <n v="72.23"/>
    <x v="0"/>
    <x v="0"/>
  </r>
  <r>
    <n v="6489"/>
    <x v="112"/>
    <x v="3"/>
    <s v="blackbrandi@gmail.com"/>
    <x v="1"/>
    <n v="3.25"/>
    <x v="1"/>
    <n v="96.67"/>
    <x v="0"/>
    <x v="0"/>
  </r>
  <r>
    <n v="9047"/>
    <x v="113"/>
    <x v="1"/>
    <s v="zrowe@morales.net"/>
    <x v="1"/>
    <n v="2.14"/>
    <x v="3"/>
    <n v="80.7"/>
    <x v="0"/>
    <x v="0"/>
  </r>
  <r>
    <n v="5788"/>
    <x v="114"/>
    <x v="4"/>
    <s v="yvonnemiller@robinson.com"/>
    <x v="4"/>
    <n v="3.75"/>
    <x v="3"/>
    <n v="92.16"/>
    <x v="0"/>
    <x v="0"/>
  </r>
  <r>
    <n v="8426"/>
    <x v="115"/>
    <x v="6"/>
    <s v="olucas@cline-robinson.com"/>
    <x v="2"/>
    <n v="2.2000000000000002"/>
    <x v="1"/>
    <n v="94.31"/>
    <x v="0"/>
    <x v="0"/>
  </r>
  <r>
    <n v="8366"/>
    <x v="116"/>
    <x v="5"/>
    <s v="dcontreras@hotmail.com"/>
    <x v="4"/>
    <n v="2.77"/>
    <x v="4"/>
    <n v="96.9"/>
    <x v="0"/>
    <x v="1"/>
  </r>
  <r>
    <n v="2963"/>
    <x v="117"/>
    <x v="7"/>
    <s v="tylerbaldwin@yahoo.com"/>
    <x v="4"/>
    <n v="2.99"/>
    <x v="1"/>
    <n v="72.14"/>
    <x v="0"/>
    <x v="0"/>
  </r>
  <r>
    <n v="3669"/>
    <x v="118"/>
    <x v="1"/>
    <s v="ystevens@yahoo.com"/>
    <x v="3"/>
    <n v="2.48"/>
    <x v="3"/>
    <n v="73.59"/>
    <x v="0"/>
    <x v="0"/>
  </r>
  <r>
    <n v="4925"/>
    <x v="119"/>
    <x v="5"/>
    <s v="michaelarroyo@guerrero.com"/>
    <x v="3"/>
    <n v="3.63"/>
    <x v="1"/>
    <n v="83.8"/>
    <x v="0"/>
    <x v="1"/>
  </r>
  <r>
    <n v="6915"/>
    <x v="120"/>
    <x v="1"/>
    <s v="knightkelly@miller-wong.org"/>
    <x v="1"/>
    <n v="3.03"/>
    <x v="4"/>
    <n v="77.650000000000006"/>
    <x v="0"/>
    <x v="1"/>
  </r>
  <r>
    <n v="4538"/>
    <x v="121"/>
    <x v="1"/>
    <s v="katherine18@hammond.info"/>
    <x v="2"/>
    <n v="3.65"/>
    <x v="3"/>
    <n v="97.31"/>
    <x v="0"/>
    <x v="0"/>
  </r>
  <r>
    <n v="1663"/>
    <x v="122"/>
    <x v="4"/>
    <s v="fcabrera@haynes-clark.com"/>
    <x v="2"/>
    <n v="3.32"/>
    <x v="4"/>
    <n v="75.900000000000006"/>
    <x v="0"/>
    <x v="1"/>
  </r>
  <r>
    <n v="1708"/>
    <x v="123"/>
    <x v="2"/>
    <s v="sandra21@burnett-gutierrez.com"/>
    <x v="4"/>
    <n v="3.37"/>
    <x v="1"/>
    <n v="79.11"/>
    <x v="0"/>
    <x v="0"/>
  </r>
  <r>
    <n v="9707"/>
    <x v="124"/>
    <x v="6"/>
    <s v="joshuagibbs@ross.biz"/>
    <x v="3"/>
    <n v="2.41"/>
    <x v="0"/>
    <n v="84.69"/>
    <x v="0"/>
    <x v="0"/>
  </r>
  <r>
    <n v="4188"/>
    <x v="125"/>
    <x v="1"/>
    <s v="marcpatel@gmail.com"/>
    <x v="3"/>
    <n v="3.8"/>
    <x v="1"/>
    <n v="76.19"/>
    <x v="0"/>
    <x v="0"/>
  </r>
  <r>
    <n v="5902"/>
    <x v="126"/>
    <x v="3"/>
    <s v="gabrielbrown@hotmail.com"/>
    <x v="1"/>
    <n v="2.9"/>
    <x v="3"/>
    <n v="99.7"/>
    <x v="0"/>
    <x v="0"/>
  </r>
  <r>
    <n v="7107"/>
    <x v="127"/>
    <x v="4"/>
    <s v="aaron93@yahoo.com"/>
    <x v="2"/>
    <n v="3.44"/>
    <x v="3"/>
    <n v="63.95"/>
    <x v="0"/>
    <x v="1"/>
  </r>
  <r>
    <n v="8040"/>
    <x v="128"/>
    <x v="5"/>
    <s v="bridgessavannah@yahoo.com"/>
    <x v="2"/>
    <n v="2.5099999999999998"/>
    <x v="2"/>
    <n v="68.819999999999993"/>
    <x v="0"/>
    <x v="0"/>
  </r>
  <r>
    <n v="4140"/>
    <x v="129"/>
    <x v="7"/>
    <s v="sandy22@rollins.com"/>
    <x v="2"/>
    <n v="2.02"/>
    <x v="6"/>
    <n v="72.91"/>
    <x v="0"/>
    <x v="0"/>
  </r>
  <r>
    <n v="3797"/>
    <x v="130"/>
    <x v="7"/>
    <s v="morgan52@taylor.com"/>
    <x v="2"/>
    <n v="3.37"/>
    <x v="2"/>
    <n v="65.91"/>
    <x v="0"/>
    <x v="1"/>
  </r>
  <r>
    <n v="7752"/>
    <x v="131"/>
    <x v="4"/>
    <s v="schwartztina@yahoo.com"/>
    <x v="2"/>
    <n v="3.72"/>
    <x v="0"/>
    <n v="71.37"/>
    <x v="0"/>
    <x v="0"/>
  </r>
  <r>
    <n v="8473"/>
    <x v="132"/>
    <x v="7"/>
    <s v="bakerjeremy@young-jones.info"/>
    <x v="3"/>
    <n v="2.04"/>
    <x v="5"/>
    <n v="91.17"/>
    <x v="0"/>
    <x v="1"/>
  </r>
  <r>
    <n v="1613"/>
    <x v="133"/>
    <x v="2"/>
    <s v="smithamanda@johnson.org"/>
    <x v="1"/>
    <n v="2.08"/>
    <x v="0"/>
    <n v="80.92"/>
    <x v="0"/>
    <x v="1"/>
  </r>
  <r>
    <n v="8298"/>
    <x v="134"/>
    <x v="3"/>
    <s v="rebeccapreston@young.info"/>
    <x v="3"/>
    <n v="2.5"/>
    <x v="1"/>
    <n v="61.36"/>
    <x v="0"/>
    <x v="1"/>
  </r>
  <r>
    <n v="6502"/>
    <x v="135"/>
    <x v="2"/>
    <s v="alexandra82@yahoo.com"/>
    <x v="2"/>
    <n v="2.9"/>
    <x v="4"/>
    <n v="99.3"/>
    <x v="0"/>
    <x v="1"/>
  </r>
  <r>
    <n v="7506"/>
    <x v="136"/>
    <x v="4"/>
    <s v="salvarado@yahoo.com"/>
    <x v="1"/>
    <n v="3.18"/>
    <x v="5"/>
    <n v="84.64"/>
    <x v="0"/>
    <x v="1"/>
  </r>
  <r>
    <n v="4633"/>
    <x v="137"/>
    <x v="3"/>
    <s v="iherring@solis.com"/>
    <x v="3"/>
    <n v="3.77"/>
    <x v="5"/>
    <n v="62.36"/>
    <x v="0"/>
    <x v="1"/>
  </r>
  <r>
    <n v="9239"/>
    <x v="138"/>
    <x v="7"/>
    <s v="anamartin@hotmail.com"/>
    <x v="0"/>
    <n v="2.02"/>
    <x v="0"/>
    <n v="86.45"/>
    <x v="0"/>
    <x v="0"/>
  </r>
  <r>
    <n v="9872"/>
    <x v="139"/>
    <x v="6"/>
    <s v="jonathangarner@yahoo.com"/>
    <x v="0"/>
    <n v="3.26"/>
    <x v="1"/>
    <n v="75.13"/>
    <x v="0"/>
    <x v="0"/>
  </r>
  <r>
    <n v="6585"/>
    <x v="140"/>
    <x v="7"/>
    <s v="brusso@hotmail.com"/>
    <x v="0"/>
    <n v="2.2999999999999998"/>
    <x v="5"/>
    <n v="65.430000000000007"/>
    <x v="0"/>
    <x v="1"/>
  </r>
  <r>
    <n v="1594"/>
    <x v="141"/>
    <x v="1"/>
    <s v="cruzjohn@hotmail.com"/>
    <x v="2"/>
    <n v="3.86"/>
    <x v="6"/>
    <n v="82.55"/>
    <x v="0"/>
    <x v="0"/>
  </r>
  <r>
    <n v="7265"/>
    <x v="142"/>
    <x v="6"/>
    <s v="brownronald@clay.com"/>
    <x v="1"/>
    <n v="3.98"/>
    <x v="4"/>
    <n v="89.08"/>
    <x v="0"/>
    <x v="0"/>
  </r>
  <r>
    <n v="9985"/>
    <x v="143"/>
    <x v="0"/>
    <s v="steelejohn@nguyen.com"/>
    <x v="1"/>
    <n v="3.07"/>
    <x v="4"/>
    <n v="86.85"/>
    <x v="0"/>
    <x v="0"/>
  </r>
  <r>
    <n v="9204"/>
    <x v="144"/>
    <x v="2"/>
    <s v="stephenanderson@gmail.com"/>
    <x v="1"/>
    <n v="2.14"/>
    <x v="5"/>
    <n v="69.900000000000006"/>
    <x v="0"/>
    <x v="1"/>
  </r>
  <r>
    <n v="1959"/>
    <x v="145"/>
    <x v="7"/>
    <s v="stephen13@miller.com"/>
    <x v="4"/>
    <n v="3.85"/>
    <x v="4"/>
    <n v="80.989999999999995"/>
    <x v="0"/>
    <x v="0"/>
  </r>
  <r>
    <n v="4036"/>
    <x v="146"/>
    <x v="4"/>
    <s v="hannahdillon@giles.com"/>
    <x v="3"/>
    <n v="3.19"/>
    <x v="6"/>
    <n v="81.510000000000005"/>
    <x v="0"/>
    <x v="0"/>
  </r>
  <r>
    <n v="3694"/>
    <x v="147"/>
    <x v="3"/>
    <s v="vanessameyers@hotmail.com"/>
    <x v="1"/>
    <n v="2.0299999999999998"/>
    <x v="0"/>
    <n v="88.67"/>
    <x v="0"/>
    <x v="0"/>
  </r>
  <r>
    <n v="7829"/>
    <x v="148"/>
    <x v="7"/>
    <s v="april31@gmail.com"/>
    <x v="2"/>
    <n v="3.64"/>
    <x v="2"/>
    <n v="74.39"/>
    <x v="0"/>
    <x v="0"/>
  </r>
  <r>
    <n v="8694"/>
    <x v="149"/>
    <x v="0"/>
    <s v="michael36@yahoo.com"/>
    <x v="4"/>
    <n v="2.5499999999999998"/>
    <x v="2"/>
    <n v="91.91"/>
    <x v="0"/>
    <x v="1"/>
  </r>
  <r>
    <n v="9382"/>
    <x v="150"/>
    <x v="2"/>
    <s v="timothyfuentes@gmail.com"/>
    <x v="2"/>
    <n v="2.71"/>
    <x v="3"/>
    <n v="85.12"/>
    <x v="0"/>
    <x v="0"/>
  </r>
  <r>
    <n v="1113"/>
    <x v="151"/>
    <x v="4"/>
    <s v="susan10@yahoo.com"/>
    <x v="3"/>
    <n v="2.5099999999999998"/>
    <x v="6"/>
    <n v="61.53"/>
    <x v="0"/>
    <x v="0"/>
  </r>
  <r>
    <n v="7637"/>
    <x v="152"/>
    <x v="0"/>
    <s v="smaynard@cole.com"/>
    <x v="0"/>
    <n v="3.99"/>
    <x v="2"/>
    <n v="81.86"/>
    <x v="0"/>
    <x v="1"/>
  </r>
  <r>
    <n v="6344"/>
    <x v="153"/>
    <x v="7"/>
    <s v="woodmonica@gmail.com"/>
    <x v="2"/>
    <n v="3.47"/>
    <x v="5"/>
    <n v="94.48"/>
    <x v="0"/>
    <x v="0"/>
  </r>
  <r>
    <n v="5468"/>
    <x v="154"/>
    <x v="0"/>
    <s v="cynthia58@yahoo.com"/>
    <x v="2"/>
    <n v="3.78"/>
    <x v="3"/>
    <n v="82.7"/>
    <x v="0"/>
    <x v="1"/>
  </r>
  <r>
    <n v="2698"/>
    <x v="155"/>
    <x v="4"/>
    <s v="juliepeterson@pearson-shepherd.net"/>
    <x v="3"/>
    <n v="3.71"/>
    <x v="4"/>
    <n v="67.03"/>
    <x v="0"/>
    <x v="0"/>
  </r>
  <r>
    <n v="7871"/>
    <x v="156"/>
    <x v="5"/>
    <s v="whitakerjoseph@yahoo.com"/>
    <x v="1"/>
    <n v="2.59"/>
    <x v="1"/>
    <n v="80.42"/>
    <x v="0"/>
    <x v="1"/>
  </r>
  <r>
    <n v="8556"/>
    <x v="157"/>
    <x v="0"/>
    <s v="zgray@salazar.net"/>
    <x v="1"/>
    <n v="2.62"/>
    <x v="2"/>
    <n v="90.28"/>
    <x v="0"/>
    <x v="1"/>
  </r>
  <r>
    <n v="5031"/>
    <x v="158"/>
    <x v="5"/>
    <s v="xstewart@huff.org"/>
    <x v="3"/>
    <n v="3"/>
    <x v="3"/>
    <n v="64.400000000000006"/>
    <x v="0"/>
    <x v="1"/>
  </r>
  <r>
    <n v="2575"/>
    <x v="159"/>
    <x v="5"/>
    <s v="morr@gmail.com"/>
    <x v="2"/>
    <n v="2.78"/>
    <x v="2"/>
    <n v="92.68"/>
    <x v="0"/>
    <x v="0"/>
  </r>
  <r>
    <n v="2322"/>
    <x v="160"/>
    <x v="5"/>
    <s v="jameslisa@morrison.com"/>
    <x v="4"/>
    <n v="2.4500000000000002"/>
    <x v="0"/>
    <n v="66.7"/>
    <x v="0"/>
    <x v="0"/>
  </r>
  <r>
    <n v="9056"/>
    <x v="161"/>
    <x v="3"/>
    <s v="jhill@bell.com"/>
    <x v="3"/>
    <n v="2.58"/>
    <x v="3"/>
    <n v="81.36"/>
    <x v="0"/>
    <x v="0"/>
  </r>
  <r>
    <n v="6326"/>
    <x v="162"/>
    <x v="7"/>
    <s v="brianna99@hotmail.com"/>
    <x v="1"/>
    <n v="2.98"/>
    <x v="2"/>
    <n v="75.430000000000007"/>
    <x v="1"/>
    <x v="0"/>
  </r>
  <r>
    <n v="8790"/>
    <x v="163"/>
    <x v="1"/>
    <s v="gregory11@russell-morris.com"/>
    <x v="2"/>
    <n v="3.14"/>
    <x v="6"/>
    <n v="69.94"/>
    <x v="0"/>
    <x v="0"/>
  </r>
  <r>
    <n v="3873"/>
    <x v="164"/>
    <x v="2"/>
    <s v="tranjulia@romero.biz"/>
    <x v="3"/>
    <n v="3.59"/>
    <x v="0"/>
    <n v="85.9"/>
    <x v="0"/>
    <x v="0"/>
  </r>
  <r>
    <n v="3176"/>
    <x v="165"/>
    <x v="2"/>
    <s v="ogordon@guerrero-holt.com"/>
    <x v="1"/>
    <n v="2.2200000000000002"/>
    <x v="4"/>
    <n v="61.5"/>
    <x v="0"/>
    <x v="1"/>
  </r>
  <r>
    <n v="9203"/>
    <x v="166"/>
    <x v="0"/>
    <s v="dennisconner@sellers.com"/>
    <x v="2"/>
    <n v="3.12"/>
    <x v="1"/>
    <n v="90.4"/>
    <x v="0"/>
    <x v="0"/>
  </r>
  <r>
    <n v="9676"/>
    <x v="167"/>
    <x v="3"/>
    <s v="mikecollins@gmail.com"/>
    <x v="3"/>
    <n v="3.44"/>
    <x v="6"/>
    <n v="81.08"/>
    <x v="0"/>
    <x v="1"/>
  </r>
  <r>
    <n v="2142"/>
    <x v="168"/>
    <x v="6"/>
    <s v="mmelendez@lewis.com"/>
    <x v="1"/>
    <n v="2.54"/>
    <x v="6"/>
    <n v="95.03"/>
    <x v="0"/>
    <x v="1"/>
  </r>
  <r>
    <n v="4138"/>
    <x v="169"/>
    <x v="1"/>
    <s v="davismatthew@gmail.com"/>
    <x v="4"/>
    <n v="2.1"/>
    <x v="2"/>
    <n v="80.83"/>
    <x v="0"/>
    <x v="1"/>
  </r>
  <r>
    <n v="8314"/>
    <x v="170"/>
    <x v="6"/>
    <s v="bhiggins@jenkins-stevenson.com"/>
    <x v="4"/>
    <n v="3.98"/>
    <x v="1"/>
    <n v="61.4"/>
    <x v="0"/>
    <x v="1"/>
  </r>
  <r>
    <n v="9826"/>
    <x v="171"/>
    <x v="0"/>
    <s v="tammyjones@clayton.info"/>
    <x v="3"/>
    <n v="3.71"/>
    <x v="0"/>
    <n v="65.739999999999995"/>
    <x v="0"/>
    <x v="1"/>
  </r>
  <r>
    <n v="5149"/>
    <x v="172"/>
    <x v="6"/>
    <s v="morrisonlucas@gmail.com"/>
    <x v="4"/>
    <n v="2.98"/>
    <x v="2"/>
    <n v="91.82"/>
    <x v="0"/>
    <x v="0"/>
  </r>
  <r>
    <n v="9098"/>
    <x v="173"/>
    <x v="6"/>
    <s v="rachel70@hotmail.com"/>
    <x v="2"/>
    <n v="2.0099999999999998"/>
    <x v="4"/>
    <n v="79.680000000000007"/>
    <x v="0"/>
    <x v="1"/>
  </r>
  <r>
    <n v="2991"/>
    <x v="174"/>
    <x v="6"/>
    <s v="zthompson@lee.com"/>
    <x v="2"/>
    <n v="2.09"/>
    <x v="1"/>
    <n v="77.680000000000007"/>
    <x v="0"/>
    <x v="0"/>
  </r>
  <r>
    <n v="6780"/>
    <x v="175"/>
    <x v="2"/>
    <s v="jamesgeorge@yahoo.com"/>
    <x v="2"/>
    <n v="3.11"/>
    <x v="3"/>
    <n v="72.739999999999995"/>
    <x v="0"/>
    <x v="1"/>
  </r>
  <r>
    <n v="1363"/>
    <x v="176"/>
    <x v="0"/>
    <s v="goodwinerica@brown.com"/>
    <x v="3"/>
    <n v="2"/>
    <x v="1"/>
    <n v="71.38"/>
    <x v="0"/>
    <x v="0"/>
  </r>
  <r>
    <n v="6589"/>
    <x v="177"/>
    <x v="2"/>
    <s v="bperry@hotmail.com"/>
    <x v="3"/>
    <n v="3.9"/>
    <x v="6"/>
    <n v="98.64"/>
    <x v="0"/>
    <x v="0"/>
  </r>
  <r>
    <n v="9377"/>
    <x v="178"/>
    <x v="3"/>
    <s v="lewisbetty@hotmail.com"/>
    <x v="0"/>
    <n v="2.63"/>
    <x v="2"/>
    <n v="77.319999999999993"/>
    <x v="0"/>
    <x v="0"/>
  </r>
  <r>
    <n v="2982"/>
    <x v="179"/>
    <x v="4"/>
    <s v="torresjacqueline@chambers-woodard.net"/>
    <x v="4"/>
    <n v="2.61"/>
    <x v="6"/>
    <n v="95.36"/>
    <x v="0"/>
    <x v="1"/>
  </r>
  <r>
    <n v="7186"/>
    <x v="180"/>
    <x v="2"/>
    <s v="sgarza@nunez.net"/>
    <x v="2"/>
    <n v="2.04"/>
    <x v="0"/>
    <n v="85.93"/>
    <x v="0"/>
    <x v="0"/>
  </r>
  <r>
    <n v="4265"/>
    <x v="181"/>
    <x v="7"/>
    <s v="gracejohnson@yahoo.com"/>
    <x v="0"/>
    <n v="3.27"/>
    <x v="0"/>
    <n v="94.34"/>
    <x v="0"/>
    <x v="0"/>
  </r>
  <r>
    <n v="9696"/>
    <x v="182"/>
    <x v="3"/>
    <s v="corysmith@anderson-anderson.com"/>
    <x v="1"/>
    <n v="3.27"/>
    <x v="2"/>
    <n v="94.1"/>
    <x v="0"/>
    <x v="1"/>
  </r>
  <r>
    <n v="8291"/>
    <x v="183"/>
    <x v="3"/>
    <s v="crystal02@schmidt.com"/>
    <x v="0"/>
    <n v="3.41"/>
    <x v="2"/>
    <n v="98.25"/>
    <x v="0"/>
    <x v="1"/>
  </r>
  <r>
    <n v="5094"/>
    <x v="184"/>
    <x v="3"/>
    <s v="teresamoreno@rubio-sanchez.com"/>
    <x v="3"/>
    <n v="2.08"/>
    <x v="4"/>
    <n v="87.92"/>
    <x v="0"/>
    <x v="0"/>
  </r>
  <r>
    <n v="7933"/>
    <x v="185"/>
    <x v="1"/>
    <s v="alyssawagner@gmail.com"/>
    <x v="2"/>
    <n v="3.96"/>
    <x v="0"/>
    <n v="92.22"/>
    <x v="0"/>
    <x v="1"/>
  </r>
  <r>
    <n v="2962"/>
    <x v="186"/>
    <x v="3"/>
    <s v="caitlynmoody@adams.com"/>
    <x v="2"/>
    <n v="3.42"/>
    <x v="0"/>
    <n v="89.33"/>
    <x v="0"/>
    <x v="1"/>
  </r>
  <r>
    <n v="7780"/>
    <x v="187"/>
    <x v="7"/>
    <s v="alexanderfernando@gmail.com"/>
    <x v="0"/>
    <n v="2.5099999999999998"/>
    <x v="4"/>
    <n v="84.21"/>
    <x v="0"/>
    <x v="0"/>
  </r>
  <r>
    <n v="8082"/>
    <x v="188"/>
    <x v="7"/>
    <s v="xharris@hotmail.com"/>
    <x v="1"/>
    <n v="2.14"/>
    <x v="0"/>
    <n v="88.69"/>
    <x v="0"/>
    <x v="0"/>
  </r>
  <r>
    <n v="7240"/>
    <x v="189"/>
    <x v="2"/>
    <s v="nhurst@hester.info"/>
    <x v="4"/>
    <n v="2.34"/>
    <x v="2"/>
    <n v="88.63"/>
    <x v="0"/>
    <x v="0"/>
  </r>
  <r>
    <n v="3033"/>
    <x v="190"/>
    <x v="7"/>
    <s v="evance@moore.org"/>
    <x v="0"/>
    <n v="2.92"/>
    <x v="4"/>
    <n v="61.64"/>
    <x v="0"/>
    <x v="0"/>
  </r>
  <r>
    <n v="2538"/>
    <x v="191"/>
    <x v="1"/>
    <s v="andersonmichelle@yahoo.com"/>
    <x v="2"/>
    <n v="2.2400000000000002"/>
    <x v="3"/>
    <n v="80.64"/>
    <x v="0"/>
    <x v="1"/>
  </r>
  <r>
    <n v="3406"/>
    <x v="192"/>
    <x v="6"/>
    <s v="jonathanfoster@sanchez.com"/>
    <x v="3"/>
    <n v="2.06"/>
    <x v="0"/>
    <n v="91.71"/>
    <x v="0"/>
    <x v="0"/>
  </r>
  <r>
    <n v="5615"/>
    <x v="193"/>
    <x v="4"/>
    <s v="bowmanmatthew@martin-duran.org"/>
    <x v="4"/>
    <n v="2.17"/>
    <x v="2"/>
    <n v="69.72"/>
    <x v="0"/>
    <x v="1"/>
  </r>
  <r>
    <n v="3994"/>
    <x v="194"/>
    <x v="1"/>
    <s v="elliottsheryl@wilcox.net"/>
    <x v="1"/>
    <n v="2.57"/>
    <x v="0"/>
    <n v="78.61"/>
    <x v="0"/>
    <x v="0"/>
  </r>
  <r>
    <n v="3274"/>
    <x v="195"/>
    <x v="2"/>
    <s v="fsutton@gmail.com"/>
    <x v="2"/>
    <n v="2.71"/>
    <x v="3"/>
    <n v="77.400000000000006"/>
    <x v="0"/>
    <x v="1"/>
  </r>
  <r>
    <n v="3609"/>
    <x v="196"/>
    <x v="0"/>
    <s v="zanderson@barrera.net"/>
    <x v="1"/>
    <n v="2.2200000000000002"/>
    <x v="4"/>
    <n v="76.11"/>
    <x v="0"/>
    <x v="0"/>
  </r>
  <r>
    <n v="9179"/>
    <x v="197"/>
    <x v="7"/>
    <s v="mstanley@yahoo.com"/>
    <x v="0"/>
    <n v="3.23"/>
    <x v="3"/>
    <n v="64.87"/>
    <x v="0"/>
    <x v="1"/>
  </r>
  <r>
    <n v="4463"/>
    <x v="198"/>
    <x v="0"/>
    <s v="nvasquez@yahoo.com"/>
    <x v="3"/>
    <n v="3.9"/>
    <x v="3"/>
    <n v="81.03"/>
    <x v="0"/>
    <x v="1"/>
  </r>
  <r>
    <n v="6178"/>
    <x v="199"/>
    <x v="5"/>
    <s v="logansanchez@manning.com"/>
    <x v="0"/>
    <n v="3.15"/>
    <x v="6"/>
    <n v="77.84999999999999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7FBF96-0830-4014-BE2E-CC53A54D89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14:B17" firstHeaderRow="1" firstDataRow="1" firstDataCol="1"/>
  <pivotFields count="10">
    <pivotField showAll="0"/>
    <pivotField showAll="0"/>
    <pivotField showAll="0"/>
    <pivotField showAll="0"/>
    <pivotField showAll="0">
      <items count="6">
        <item x="4"/>
        <item x="1"/>
        <item x="3"/>
        <item x="0"/>
        <item x="2"/>
        <item t="default"/>
      </items>
    </pivotField>
    <pivotField showAll="0"/>
    <pivotField showAll="0"/>
    <pivotField showAll="0"/>
    <pivotField showAll="0"/>
    <pivotField axis="axisRow" dataField="1" showAll="0">
      <items count="3">
        <item x="1"/>
        <item x="0"/>
        <item t="default"/>
      </items>
    </pivotField>
  </pivotFields>
  <rowFields count="1">
    <field x="9"/>
  </rowFields>
  <rowItems count="3">
    <i>
      <x/>
    </i>
    <i>
      <x v="1"/>
    </i>
    <i t="grand">
      <x/>
    </i>
  </rowItems>
  <colItems count="1">
    <i/>
  </colItems>
  <dataFields count="1">
    <dataField name="Count of Gender" fld="9" subtotal="count" baseField="0" baseItem="0"/>
  </dataFields>
  <chartFormats count="6">
    <chartFormat chart="22"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9" count="1" selected="0">
            <x v="0"/>
          </reference>
        </references>
      </pivotArea>
    </chartFormat>
    <chartFormat chart="27" format="6">
      <pivotArea type="data" outline="0" fieldPosition="0">
        <references count="2">
          <reference field="4294967294" count="1" selected="0">
            <x v="0"/>
          </reference>
          <reference field="9" count="1" selected="0">
            <x v="1"/>
          </reference>
        </references>
      </pivotArea>
    </chartFormat>
    <chartFormat chart="22" format="1">
      <pivotArea type="data" outline="0" fieldPosition="0">
        <references count="2">
          <reference field="4294967294" count="1" selected="0">
            <x v="0"/>
          </reference>
          <reference field="9" count="1" selected="0">
            <x v="0"/>
          </reference>
        </references>
      </pivotArea>
    </chartFormat>
    <chartFormat chart="22"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7F2141-6070-4062-B82D-FC2030D2BA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 Name">
  <location ref="A65:B77" firstHeaderRow="1" firstDataRow="1" firstDataCol="1"/>
  <pivotFields count="10">
    <pivotField showAll="0"/>
    <pivotField axis="axisRow" showAll="0" measureFilter="1" sortType="descending">
      <items count="201">
        <item x="10"/>
        <item x="11"/>
        <item x="15"/>
        <item x="34"/>
        <item x="123"/>
        <item x="182"/>
        <item x="39"/>
        <item x="73"/>
        <item x="146"/>
        <item x="149"/>
        <item x="145"/>
        <item x="26"/>
        <item x="53"/>
        <item x="1"/>
        <item x="125"/>
        <item x="138"/>
        <item x="160"/>
        <item x="59"/>
        <item x="104"/>
        <item x="50"/>
        <item x="64"/>
        <item x="161"/>
        <item x="65"/>
        <item x="155"/>
        <item x="33"/>
        <item x="105"/>
        <item x="175"/>
        <item x="187"/>
        <item x="97"/>
        <item x="29"/>
        <item x="79"/>
        <item x="100"/>
        <item x="69"/>
        <item x="195"/>
        <item x="163"/>
        <item x="88"/>
        <item x="162"/>
        <item x="176"/>
        <item x="18"/>
        <item x="143"/>
        <item x="12"/>
        <item x="170"/>
        <item x="17"/>
        <item x="49"/>
        <item x="76"/>
        <item x="158"/>
        <item x="68"/>
        <item x="186"/>
        <item x="42"/>
        <item x="19"/>
        <item x="62"/>
        <item x="183"/>
        <item x="0"/>
        <item x="16"/>
        <item x="23"/>
        <item x="80"/>
        <item x="92"/>
        <item x="166"/>
        <item x="188"/>
        <item x="139"/>
        <item x="127"/>
        <item x="128"/>
        <item x="9"/>
        <item x="60"/>
        <item x="22"/>
        <item x="179"/>
        <item x="41"/>
        <item x="185"/>
        <item x="58"/>
        <item x="121"/>
        <item x="56"/>
        <item x="129"/>
        <item x="48"/>
        <item x="109"/>
        <item x="180"/>
        <item x="191"/>
        <item x="181"/>
        <item x="40"/>
        <item x="6"/>
        <item x="51"/>
        <item x="38"/>
        <item x="111"/>
        <item x="114"/>
        <item x="116"/>
        <item x="67"/>
        <item x="189"/>
        <item x="107"/>
        <item x="150"/>
        <item x="96"/>
        <item x="82"/>
        <item x="63"/>
        <item x="194"/>
        <item x="110"/>
        <item x="192"/>
        <item x="2"/>
        <item x="113"/>
        <item x="144"/>
        <item x="196"/>
        <item x="78"/>
        <item x="54"/>
        <item x="4"/>
        <item x="131"/>
        <item x="3"/>
        <item x="142"/>
        <item x="119"/>
        <item x="169"/>
        <item x="14"/>
        <item x="106"/>
        <item x="173"/>
        <item x="25"/>
        <item x="171"/>
        <item x="55"/>
        <item x="86"/>
        <item x="172"/>
        <item x="98"/>
        <item x="44"/>
        <item x="108"/>
        <item x="117"/>
        <item x="178"/>
        <item x="153"/>
        <item x="21"/>
        <item x="118"/>
        <item x="47"/>
        <item x="77"/>
        <item x="193"/>
        <item x="124"/>
        <item x="8"/>
        <item x="134"/>
        <item x="75"/>
        <item x="167"/>
        <item x="140"/>
        <item x="199"/>
        <item x="112"/>
        <item x="157"/>
        <item x="52"/>
        <item x="91"/>
        <item x="115"/>
        <item x="122"/>
        <item x="66"/>
        <item x="133"/>
        <item x="45"/>
        <item x="70"/>
        <item x="120"/>
        <item x="152"/>
        <item x="103"/>
        <item x="95"/>
        <item x="24"/>
        <item x="87"/>
        <item x="72"/>
        <item x="99"/>
        <item x="132"/>
        <item x="135"/>
        <item x="57"/>
        <item x="102"/>
        <item x="184"/>
        <item x="31"/>
        <item x="43"/>
        <item x="136"/>
        <item x="156"/>
        <item x="7"/>
        <item x="137"/>
        <item x="27"/>
        <item x="84"/>
        <item x="147"/>
        <item x="85"/>
        <item x="148"/>
        <item x="30"/>
        <item x="165"/>
        <item x="94"/>
        <item x="36"/>
        <item x="89"/>
        <item x="90"/>
        <item x="164"/>
        <item x="81"/>
        <item x="74"/>
        <item x="154"/>
        <item x="126"/>
        <item x="198"/>
        <item x="37"/>
        <item x="20"/>
        <item x="83"/>
        <item x="13"/>
        <item x="46"/>
        <item x="28"/>
        <item x="190"/>
        <item x="197"/>
        <item x="168"/>
        <item x="93"/>
        <item x="5"/>
        <item x="174"/>
        <item x="141"/>
        <item x="177"/>
        <item x="130"/>
        <item x="35"/>
        <item x="32"/>
        <item x="159"/>
        <item x="101"/>
        <item x="61"/>
        <item x="71"/>
        <item x="151"/>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4"/>
        <item h="1" x="1"/>
        <item h="1" x="3"/>
        <item h="1" x="0"/>
        <item h="1" x="2"/>
        <item t="default"/>
      </items>
    </pivotField>
    <pivotField dataField="1" showAll="0"/>
    <pivotField showAll="0"/>
    <pivotField showAll="0"/>
    <pivotField showAll="0"/>
    <pivotField showAll="0"/>
  </pivotFields>
  <rowFields count="1">
    <field x="1"/>
  </rowFields>
  <rowItems count="12">
    <i>
      <x v="143"/>
    </i>
    <i>
      <x v="41"/>
    </i>
    <i>
      <x v="103"/>
    </i>
    <i>
      <x v="164"/>
    </i>
    <i>
      <x v="153"/>
    </i>
    <i>
      <x v="67"/>
    </i>
    <i>
      <x v="28"/>
    </i>
    <i>
      <x v="43"/>
    </i>
    <i>
      <x v="53"/>
    </i>
    <i>
      <x v="198"/>
    </i>
    <i>
      <x v="148"/>
    </i>
    <i t="grand">
      <x/>
    </i>
  </rowItems>
  <colItems count="1">
    <i/>
  </colItems>
  <dataFields count="1">
    <dataField name="Sum of GPA" fld="5"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783B62-1EED-49AD-AFB7-E80776E692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dataField="1" showAll="0"/>
    <pivotField showAll="0"/>
    <pivotField showAll="0"/>
    <pivotField showAll="0"/>
    <pivotField showAll="0">
      <items count="6">
        <item x="4"/>
        <item x="1"/>
        <item x="3"/>
        <item x="0"/>
        <item x="2"/>
        <item t="default"/>
      </items>
    </pivotField>
    <pivotField showAll="0"/>
    <pivotField showAll="0"/>
    <pivotField showAll="0"/>
    <pivotField showAll="0"/>
    <pivotField showAll="0"/>
  </pivotFields>
  <rowItems count="1">
    <i/>
  </rowItems>
  <colItems count="1">
    <i/>
  </colItems>
  <dataFields count="1">
    <dataField name="Total Stud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8C0C78-7C95-4B36-88AF-A42780CB0C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0">
    <pivotField showAll="0"/>
    <pivotField showAll="0"/>
    <pivotField showAll="0"/>
    <pivotField showAll="0"/>
    <pivotField showAll="0">
      <items count="6">
        <item x="4"/>
        <item x="1"/>
        <item x="3"/>
        <item x="0"/>
        <item x="2"/>
        <item t="default"/>
      </items>
    </pivotField>
    <pivotField showAll="0"/>
    <pivotField showAll="0"/>
    <pivotField dataField="1" showAll="0"/>
    <pivotField showAll="0"/>
    <pivotField showAll="0"/>
  </pivotFields>
  <rowItems count="1">
    <i/>
  </rowItems>
  <colItems count="1">
    <i/>
  </colItems>
  <dataFields count="1">
    <dataField name="Average of Attendance" fld="7"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5340DD-11DD-41DC-B61E-48E23AF603E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7">
  <location ref="A47:J56" firstHeaderRow="1" firstDataRow="2" firstDataCol="1"/>
  <pivotFields count="10">
    <pivotField dataField="1" showAll="0"/>
    <pivotField showAll="0"/>
    <pivotField axis="axisCol" showAll="0">
      <items count="9">
        <item x="4"/>
        <item x="0"/>
        <item x="5"/>
        <item x="7"/>
        <item x="2"/>
        <item x="1"/>
        <item x="3"/>
        <item x="6"/>
        <item t="default"/>
      </items>
    </pivotField>
    <pivotField showAll="0"/>
    <pivotField showAll="0">
      <items count="6">
        <item h="1" x="4"/>
        <item x="1"/>
        <item h="1" x="3"/>
        <item h="1" x="0"/>
        <item h="1" x="2"/>
        <item t="default"/>
      </items>
    </pivotField>
    <pivotField showAll="0"/>
    <pivotField axis="axisRow" showAll="0">
      <items count="8">
        <item x="5"/>
        <item x="3"/>
        <item x="0"/>
        <item x="1"/>
        <item x="6"/>
        <item x="2"/>
        <item x="4"/>
        <item t="default"/>
      </items>
    </pivotField>
    <pivotField showAll="0"/>
    <pivotField showAll="0"/>
    <pivotField showAll="0"/>
  </pivotFields>
  <rowFields count="1">
    <field x="6"/>
  </rowFields>
  <rowItems count="8">
    <i>
      <x/>
    </i>
    <i>
      <x v="1"/>
    </i>
    <i>
      <x v="2"/>
    </i>
    <i>
      <x v="3"/>
    </i>
    <i>
      <x v="4"/>
    </i>
    <i>
      <x v="5"/>
    </i>
    <i>
      <x v="6"/>
    </i>
    <i t="grand">
      <x/>
    </i>
  </rowItems>
  <colFields count="1">
    <field x="2"/>
  </colFields>
  <colItems count="9">
    <i>
      <x/>
    </i>
    <i>
      <x v="1"/>
    </i>
    <i>
      <x v="2"/>
    </i>
    <i>
      <x v="3"/>
    </i>
    <i>
      <x v="4"/>
    </i>
    <i>
      <x v="5"/>
    </i>
    <i>
      <x v="6"/>
    </i>
    <i>
      <x v="7"/>
    </i>
    <i t="grand">
      <x/>
    </i>
  </colItems>
  <dataFields count="1">
    <dataField name="Count of StudentID" fld="0" subtotal="count" baseField="2" baseItem="0"/>
  </dataFields>
  <chartFormats count="16">
    <chartFormat chart="102" format="0" series="1">
      <pivotArea type="data" outline="0" fieldPosition="0">
        <references count="2">
          <reference field="4294967294" count="1" selected="0">
            <x v="0"/>
          </reference>
          <reference field="2" count="1" selected="0">
            <x v="0"/>
          </reference>
        </references>
      </pivotArea>
    </chartFormat>
    <chartFormat chart="102" format="1" series="1">
      <pivotArea type="data" outline="0" fieldPosition="0">
        <references count="2">
          <reference field="4294967294" count="1" selected="0">
            <x v="0"/>
          </reference>
          <reference field="2" count="1" selected="0">
            <x v="1"/>
          </reference>
        </references>
      </pivotArea>
    </chartFormat>
    <chartFormat chart="102" format="2" series="1">
      <pivotArea type="data" outline="0" fieldPosition="0">
        <references count="2">
          <reference field="4294967294" count="1" selected="0">
            <x v="0"/>
          </reference>
          <reference field="2" count="1" selected="0">
            <x v="2"/>
          </reference>
        </references>
      </pivotArea>
    </chartFormat>
    <chartFormat chart="102" format="3" series="1">
      <pivotArea type="data" outline="0" fieldPosition="0">
        <references count="2">
          <reference field="4294967294" count="1" selected="0">
            <x v="0"/>
          </reference>
          <reference field="2" count="1" selected="0">
            <x v="3"/>
          </reference>
        </references>
      </pivotArea>
    </chartFormat>
    <chartFormat chart="102" format="4" series="1">
      <pivotArea type="data" outline="0" fieldPosition="0">
        <references count="2">
          <reference field="4294967294" count="1" selected="0">
            <x v="0"/>
          </reference>
          <reference field="2" count="1" selected="0">
            <x v="4"/>
          </reference>
        </references>
      </pivotArea>
    </chartFormat>
    <chartFormat chart="102" format="5" series="1">
      <pivotArea type="data" outline="0" fieldPosition="0">
        <references count="2">
          <reference field="4294967294" count="1" selected="0">
            <x v="0"/>
          </reference>
          <reference field="2" count="1" selected="0">
            <x v="5"/>
          </reference>
        </references>
      </pivotArea>
    </chartFormat>
    <chartFormat chart="102" format="6" series="1">
      <pivotArea type="data" outline="0" fieldPosition="0">
        <references count="2">
          <reference field="4294967294" count="1" selected="0">
            <x v="0"/>
          </reference>
          <reference field="2" count="1" selected="0">
            <x v="6"/>
          </reference>
        </references>
      </pivotArea>
    </chartFormat>
    <chartFormat chart="102" format="7" series="1">
      <pivotArea type="data" outline="0" fieldPosition="0">
        <references count="2">
          <reference field="4294967294" count="1" selected="0">
            <x v="0"/>
          </reference>
          <reference field="2" count="1" selected="0">
            <x v="7"/>
          </reference>
        </references>
      </pivotArea>
    </chartFormat>
    <chartFormat chart="105" format="16" series="1">
      <pivotArea type="data" outline="0" fieldPosition="0">
        <references count="2">
          <reference field="4294967294" count="1" selected="0">
            <x v="0"/>
          </reference>
          <reference field="2" count="1" selected="0">
            <x v="0"/>
          </reference>
        </references>
      </pivotArea>
    </chartFormat>
    <chartFormat chart="105" format="17" series="1">
      <pivotArea type="data" outline="0" fieldPosition="0">
        <references count="2">
          <reference field="4294967294" count="1" selected="0">
            <x v="0"/>
          </reference>
          <reference field="2" count="1" selected="0">
            <x v="1"/>
          </reference>
        </references>
      </pivotArea>
    </chartFormat>
    <chartFormat chart="105" format="18" series="1">
      <pivotArea type="data" outline="0" fieldPosition="0">
        <references count="2">
          <reference field="4294967294" count="1" selected="0">
            <x v="0"/>
          </reference>
          <reference field="2" count="1" selected="0">
            <x v="2"/>
          </reference>
        </references>
      </pivotArea>
    </chartFormat>
    <chartFormat chart="105" format="19" series="1">
      <pivotArea type="data" outline="0" fieldPosition="0">
        <references count="2">
          <reference field="4294967294" count="1" selected="0">
            <x v="0"/>
          </reference>
          <reference field="2" count="1" selected="0">
            <x v="3"/>
          </reference>
        </references>
      </pivotArea>
    </chartFormat>
    <chartFormat chart="105" format="20" series="1">
      <pivotArea type="data" outline="0" fieldPosition="0">
        <references count="2">
          <reference field="4294967294" count="1" selected="0">
            <x v="0"/>
          </reference>
          <reference field="2" count="1" selected="0">
            <x v="4"/>
          </reference>
        </references>
      </pivotArea>
    </chartFormat>
    <chartFormat chart="105" format="21" series="1">
      <pivotArea type="data" outline="0" fieldPosition="0">
        <references count="2">
          <reference field="4294967294" count="1" selected="0">
            <x v="0"/>
          </reference>
          <reference field="2" count="1" selected="0">
            <x v="5"/>
          </reference>
        </references>
      </pivotArea>
    </chartFormat>
    <chartFormat chart="105" format="22" series="1">
      <pivotArea type="data" outline="0" fieldPosition="0">
        <references count="2">
          <reference field="4294967294" count="1" selected="0">
            <x v="0"/>
          </reference>
          <reference field="2" count="1" selected="0">
            <x v="6"/>
          </reference>
        </references>
      </pivotArea>
    </chartFormat>
    <chartFormat chart="105" format="23" series="1">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8AC139-8AF7-41E4-AFEF-A71B6B9B797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4" firstHeaderRow="1" firstDataRow="1" firstDataCol="1"/>
  <pivotFields count="10">
    <pivotField showAll="0"/>
    <pivotField showAll="0"/>
    <pivotField showAll="0"/>
    <pivotField showAll="0"/>
    <pivotField showAll="0">
      <items count="6">
        <item x="4"/>
        <item x="1"/>
        <item x="3"/>
        <item x="0"/>
        <item x="2"/>
        <item t="default"/>
      </items>
    </pivotField>
    <pivotField showAll="0"/>
    <pivotField showAll="0"/>
    <pivotField showAll="0"/>
    <pivotField axis="axisRow" dataField="1" showAll="0">
      <items count="3">
        <item x="0"/>
        <item x="1"/>
        <item t="default"/>
      </items>
    </pivotField>
    <pivotField showAll="0"/>
  </pivotFields>
  <rowFields count="1">
    <field x="8"/>
  </rowFields>
  <rowItems count="3">
    <i>
      <x/>
    </i>
    <i>
      <x v="1"/>
    </i>
    <i t="grand">
      <x/>
    </i>
  </rowItems>
  <colItems count="1">
    <i/>
  </colItems>
  <dataFields count="1">
    <dataField name="Count of Mode of Study"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D18116-234D-4857-898F-F4B48B92548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0">
    <pivotField showAll="0"/>
    <pivotField showAll="0"/>
    <pivotField showAll="0"/>
    <pivotField showAll="0"/>
    <pivotField showAll="0">
      <items count="6">
        <item x="4"/>
        <item x="1"/>
        <item x="3"/>
        <item x="0"/>
        <item x="2"/>
        <item t="default"/>
      </items>
    </pivotField>
    <pivotField dataField="1" showAll="0"/>
    <pivotField showAll="0"/>
    <pivotField showAll="0"/>
    <pivotField showAll="0"/>
    <pivotField showAll="0"/>
  </pivotFields>
  <rowItems count="1">
    <i/>
  </rowItems>
  <colItems count="1">
    <i/>
  </colItems>
  <dataFields count="1">
    <dataField name="Average of GPA"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A136CB-C46C-4264-902F-1F47C4B5C81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1">
  <location ref="A37:D44" firstHeaderRow="1" firstDataRow="2" firstDataCol="1"/>
  <pivotFields count="10">
    <pivotField dataField="1" showAll="0"/>
    <pivotField showAll="0"/>
    <pivotField showAll="0"/>
    <pivotField showAll="0"/>
    <pivotField axis="axisRow" showAll="0">
      <items count="6">
        <item x="4"/>
        <item x="1"/>
        <item x="3"/>
        <item x="0"/>
        <item x="2"/>
        <item t="default"/>
      </items>
    </pivotField>
    <pivotField showAll="0"/>
    <pivotField showAll="0"/>
    <pivotField showAll="0"/>
    <pivotField showAll="0"/>
    <pivotField axis="axisCol" showAll="0">
      <items count="3">
        <item x="1"/>
        <item x="0"/>
        <item t="default"/>
      </items>
    </pivotField>
  </pivotFields>
  <rowFields count="1">
    <field x="4"/>
  </rowFields>
  <rowItems count="6">
    <i>
      <x/>
    </i>
    <i>
      <x v="1"/>
    </i>
    <i>
      <x v="2"/>
    </i>
    <i>
      <x v="3"/>
    </i>
    <i>
      <x v="4"/>
    </i>
    <i t="grand">
      <x/>
    </i>
  </rowItems>
  <colFields count="1">
    <field x="9"/>
  </colFields>
  <colItems count="3">
    <i>
      <x/>
    </i>
    <i>
      <x v="1"/>
    </i>
    <i t="grand">
      <x/>
    </i>
  </colItems>
  <dataFields count="1">
    <dataField name="Count of StudentID" fld="0" subtotal="count" baseField="4" baseItem="0"/>
  </dataFields>
  <chartFormats count="4">
    <chartFormat chart="32" format="0" series="1">
      <pivotArea type="data" outline="0" fieldPosition="0">
        <references count="2">
          <reference field="4294967294" count="1" selected="0">
            <x v="0"/>
          </reference>
          <reference field="9" count="1" selected="0">
            <x v="0"/>
          </reference>
        </references>
      </pivotArea>
    </chartFormat>
    <chartFormat chart="32" format="1" series="1">
      <pivotArea type="data" outline="0" fieldPosition="0">
        <references count="2">
          <reference field="4294967294" count="1" selected="0">
            <x v="0"/>
          </reference>
          <reference field="9" count="1" selected="0">
            <x v="1"/>
          </reference>
        </references>
      </pivotArea>
    </chartFormat>
    <chartFormat chart="44" format="4" series="1">
      <pivotArea type="data" outline="0" fieldPosition="0">
        <references count="2">
          <reference field="4294967294" count="1" selected="0">
            <x v="0"/>
          </reference>
          <reference field="9" count="1" selected="0">
            <x v="0"/>
          </reference>
        </references>
      </pivotArea>
    </chartFormat>
    <chartFormat chart="44"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42E11D-766F-4747-A9FC-CDB44CDCEEE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28:B34" firstHeaderRow="1" firstDataRow="1" firstDataCol="1"/>
  <pivotFields count="10">
    <pivotField showAll="0"/>
    <pivotField showAll="0"/>
    <pivotField showAll="0"/>
    <pivotField showAll="0"/>
    <pivotField axis="axisRow" showAll="0">
      <items count="6">
        <item x="4"/>
        <item x="1"/>
        <item x="3"/>
        <item x="0"/>
        <item x="2"/>
        <item t="default"/>
      </items>
    </pivotField>
    <pivotField showAll="0"/>
    <pivotField showAll="0"/>
    <pivotField dataField="1" showAll="0"/>
    <pivotField showAll="0"/>
    <pivotField showAll="0"/>
  </pivotFields>
  <rowFields count="1">
    <field x="4"/>
  </rowFields>
  <rowItems count="6">
    <i>
      <x/>
    </i>
    <i>
      <x v="1"/>
    </i>
    <i>
      <x v="2"/>
    </i>
    <i>
      <x v="3"/>
    </i>
    <i>
      <x v="4"/>
    </i>
    <i t="grand">
      <x/>
    </i>
  </rowItems>
  <colItems count="1">
    <i/>
  </colItems>
  <dataFields count="1">
    <dataField name="Average of Attendance" fld="7" subtotal="average" baseField="4" baseItem="0" numFmtId="2"/>
  </dataFields>
  <chartFormats count="2">
    <chartFormat chart="15"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15BB792-B81B-4D13-86C4-3E055095370C}" sourceName="Department">
  <pivotTables>
    <pivotTable tabId="3" name="PivotTable1"/>
    <pivotTable tabId="3" name="PivotTable10"/>
    <pivotTable tabId="3" name="PivotTable11"/>
    <pivotTable tabId="3" name="PivotTable2"/>
    <pivotTable tabId="3" name="PivotTable3"/>
    <pivotTable tabId="3" name="PivotTable4"/>
    <pivotTable tabId="3" name="PivotTable9"/>
  </pivotTables>
  <data>
    <tabular pivotCacheId="1946916851">
      <items count="5">
        <i x="4" s="1"/>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E7F6302-A245-443D-A81F-6E74DCDFEFFD}" cache="Slicer_Department" caption="Departmen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332181F0-0FB1-44FE-8AC9-E3DE7110F606}" cache="Slicer_Department" caption="Department" style="SlicerStyleDark6 2" rowHeight="31089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35D34B-477C-4E11-8CF6-890DD6F137A8}" name="Table1" displayName="Table1" ref="A1:J201" totalsRowShown="0">
  <autoFilter ref="A1:J201" xr:uid="{2835D34B-477C-4E11-8CF6-890DD6F137A8}"/>
  <tableColumns count="10">
    <tableColumn id="1" xr3:uid="{B6C86E0B-A1CF-4E60-B2C0-14A3596144E3}" name="StudentID"/>
    <tableColumn id="2" xr3:uid="{F53609FF-6335-419E-B25B-747D7AE1F9A2}" name="Name"/>
    <tableColumn id="3" xr3:uid="{25C0B112-09BC-470C-8EF5-312E115F0BE5}" name="Age"/>
    <tableColumn id="4" xr3:uid="{E8C5B973-407F-40BE-A993-897ADF6AF54C}" name="Email"/>
    <tableColumn id="5" xr3:uid="{82DD6575-EA5B-4AB5-A953-3CA3BA52FEA6}" name="Department"/>
    <tableColumn id="6" xr3:uid="{7DA9A461-A684-4119-B9C4-13DB73ABAAE9}" name="GPA"/>
    <tableColumn id="7" xr3:uid="{39476AF2-DCC0-4AE6-B28F-60D8DBA81E40}" name="GraduationYear"/>
    <tableColumn id="8" xr3:uid="{5374F848-07A2-4ECD-94F3-46FC849496B7}" name="Attendance"/>
    <tableColumn id="9" xr3:uid="{53EA3F54-1DA7-4932-9302-D51BD4946591}" name="Mode of Study"/>
    <tableColumn id="10" xr3:uid="{7BB01096-54AD-4A7E-8F57-143ADB125655}" name="Gender"/>
  </tableColumns>
  <tableStyleInfo name="TableStyleMedium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Reflection">
      <a:fillStyleLst>
        <a:solidFill>
          <a:schemeClr val="phClr"/>
        </a:solidFill>
        <a:gradFill rotWithShape="1">
          <a:gsLst>
            <a:gs pos="0">
              <a:schemeClr val="phClr">
                <a:tint val="50000"/>
                <a:alpha val="100000"/>
                <a:satMod val="140000"/>
                <a:lumMod val="105000"/>
              </a:schemeClr>
            </a:gs>
            <a:gs pos="41000">
              <a:schemeClr val="phClr">
                <a:tint val="57000"/>
                <a:satMod val="160000"/>
                <a:lumMod val="99000"/>
              </a:schemeClr>
            </a:gs>
            <a:gs pos="100000">
              <a:schemeClr val="phClr">
                <a:tint val="80000"/>
                <a:satMod val="180000"/>
                <a:lumMod val="104000"/>
              </a:schemeClr>
            </a:gs>
          </a:gsLst>
          <a:lin ang="5400000" scaled="1"/>
        </a:gradFill>
        <a:gradFill rotWithShape="1">
          <a:gsLst>
            <a:gs pos="0">
              <a:schemeClr val="phClr">
                <a:tint val="97000"/>
                <a:satMod val="115000"/>
                <a:lumMod val="114000"/>
              </a:schemeClr>
            </a:gs>
            <a:gs pos="60000">
              <a:schemeClr val="phClr">
                <a:tint val="100000"/>
                <a:shade val="96000"/>
                <a:satMod val="100000"/>
                <a:lumMod val="108000"/>
              </a:schemeClr>
            </a:gs>
            <a:gs pos="100000">
              <a:schemeClr val="phClr">
                <a:shade val="91000"/>
                <a:sat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38100" dist="25400" dir="5400000" rotWithShape="0">
              <a:srgbClr val="000000">
                <a:alpha val="28000"/>
              </a:srgbClr>
            </a:outerShdw>
          </a:effectLst>
        </a:effectStyle>
        <a:effectStyle>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a:effectStyle>
        <a:effectStyle>
          <a:effectLst>
            <a:reflection blurRad="25400" stA="32000" endPos="28000" dist="8889" dir="5400000" sy="-100000" rotWithShape="0"/>
          </a:effectLst>
          <a:scene3d>
            <a:camera prst="orthographicFront">
              <a:rot lat="0" lon="0" rev="0"/>
            </a:camera>
            <a:lightRig rig="threePt" dir="t">
              <a:rot lat="0" lon="0" rev="4800000"/>
            </a:lightRig>
          </a:scene3d>
          <a:sp3d>
            <a:bevelT w="50800" h="25400"/>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8CC6A-24AB-4EA2-819F-409C146A5ECB}">
  <dimension ref="A1:J201"/>
  <sheetViews>
    <sheetView workbookViewId="0">
      <pane ySplit="1" topLeftCell="A2" activePane="bottomLeft" state="frozen"/>
      <selection pane="bottomLeft" activeCell="M70" sqref="M70"/>
    </sheetView>
  </sheetViews>
  <sheetFormatPr defaultRowHeight="13.8" x14ac:dyDescent="0.25"/>
  <cols>
    <col min="1" max="1" width="11.09765625" customWidth="1"/>
    <col min="2" max="2" width="8.796875" customWidth="1"/>
    <col min="5" max="5" width="12.796875" customWidth="1"/>
    <col min="7" max="7" width="15.796875" customWidth="1"/>
    <col min="8" max="8" width="12.3984375" customWidth="1"/>
    <col min="9" max="9" width="14.3984375" customWidth="1"/>
    <col min="10" max="10" width="8.8984375" customWidth="1"/>
  </cols>
  <sheetData>
    <row r="1" spans="1:10" x14ac:dyDescent="0.25">
      <c r="A1" t="s">
        <v>0</v>
      </c>
      <c r="B1" t="s">
        <v>1</v>
      </c>
      <c r="C1" t="s">
        <v>2</v>
      </c>
      <c r="D1" t="s">
        <v>3</v>
      </c>
      <c r="E1" t="s">
        <v>4</v>
      </c>
      <c r="F1" t="s">
        <v>5</v>
      </c>
      <c r="G1" t="s">
        <v>6</v>
      </c>
      <c r="H1" t="s">
        <v>7</v>
      </c>
      <c r="I1" t="s">
        <v>8</v>
      </c>
      <c r="J1" t="s">
        <v>9</v>
      </c>
    </row>
    <row r="2" spans="1:10" x14ac:dyDescent="0.25">
      <c r="A2">
        <v>3336</v>
      </c>
      <c r="B2" t="s">
        <v>10</v>
      </c>
      <c r="C2">
        <v>19</v>
      </c>
      <c r="D2" t="s">
        <v>11</v>
      </c>
      <c r="E2" t="s">
        <v>12</v>
      </c>
      <c r="F2">
        <v>3.16</v>
      </c>
      <c r="G2">
        <v>2026</v>
      </c>
      <c r="H2">
        <v>68.430000000000007</v>
      </c>
      <c r="I2" t="s">
        <v>13</v>
      </c>
      <c r="J2" t="s">
        <v>14</v>
      </c>
    </row>
    <row r="3" spans="1:10" x14ac:dyDescent="0.25">
      <c r="A3">
        <v>8774</v>
      </c>
      <c r="B3" t="s">
        <v>15</v>
      </c>
      <c r="C3">
        <v>23</v>
      </c>
      <c r="D3" t="s">
        <v>16</v>
      </c>
      <c r="E3" t="s">
        <v>17</v>
      </c>
      <c r="F3">
        <v>3.75</v>
      </c>
      <c r="G3">
        <v>2027</v>
      </c>
      <c r="H3">
        <v>76.849999999999994</v>
      </c>
      <c r="I3" t="s">
        <v>13</v>
      </c>
      <c r="J3" t="s">
        <v>14</v>
      </c>
    </row>
    <row r="4" spans="1:10" x14ac:dyDescent="0.25">
      <c r="A4">
        <v>1396</v>
      </c>
      <c r="B4" t="s">
        <v>18</v>
      </c>
      <c r="C4">
        <v>22</v>
      </c>
      <c r="D4" t="s">
        <v>19</v>
      </c>
      <c r="E4" t="s">
        <v>20</v>
      </c>
      <c r="F4">
        <v>2.95</v>
      </c>
      <c r="G4">
        <v>2027</v>
      </c>
      <c r="H4">
        <v>68.72</v>
      </c>
      <c r="I4" t="s">
        <v>13</v>
      </c>
      <c r="J4" t="s">
        <v>21</v>
      </c>
    </row>
    <row r="5" spans="1:10" x14ac:dyDescent="0.25">
      <c r="A5">
        <v>6716</v>
      </c>
      <c r="B5" t="s">
        <v>22</v>
      </c>
      <c r="C5">
        <v>24</v>
      </c>
      <c r="D5" t="s">
        <v>23</v>
      </c>
      <c r="E5" t="s">
        <v>20</v>
      </c>
      <c r="F5">
        <v>3.55</v>
      </c>
      <c r="G5">
        <v>2029</v>
      </c>
      <c r="H5">
        <v>93.83</v>
      </c>
      <c r="I5" t="s">
        <v>13</v>
      </c>
      <c r="J5" t="s">
        <v>14</v>
      </c>
    </row>
    <row r="6" spans="1:10" x14ac:dyDescent="0.25">
      <c r="A6">
        <v>8830</v>
      </c>
      <c r="B6" t="s">
        <v>24</v>
      </c>
      <c r="C6">
        <v>18</v>
      </c>
      <c r="D6" t="s">
        <v>25</v>
      </c>
      <c r="E6" t="s">
        <v>17</v>
      </c>
      <c r="F6">
        <v>2.29</v>
      </c>
      <c r="G6">
        <v>2025</v>
      </c>
      <c r="H6">
        <v>78.25</v>
      </c>
      <c r="I6" t="s">
        <v>13</v>
      </c>
      <c r="J6" t="s">
        <v>21</v>
      </c>
    </row>
    <row r="7" spans="1:10" x14ac:dyDescent="0.25">
      <c r="A7">
        <v>5305</v>
      </c>
      <c r="B7" t="s">
        <v>26</v>
      </c>
      <c r="C7">
        <v>23</v>
      </c>
      <c r="D7" t="s">
        <v>27</v>
      </c>
      <c r="E7" t="s">
        <v>12</v>
      </c>
      <c r="F7">
        <v>3.3</v>
      </c>
      <c r="G7">
        <v>2029</v>
      </c>
      <c r="H7">
        <v>71.19</v>
      </c>
      <c r="I7" t="s">
        <v>13</v>
      </c>
      <c r="J7" t="s">
        <v>14</v>
      </c>
    </row>
    <row r="8" spans="1:10" x14ac:dyDescent="0.25">
      <c r="A8">
        <v>5048</v>
      </c>
      <c r="B8" t="s">
        <v>28</v>
      </c>
      <c r="C8">
        <v>20</v>
      </c>
      <c r="D8" t="s">
        <v>29</v>
      </c>
      <c r="E8" t="s">
        <v>17</v>
      </c>
      <c r="F8">
        <v>2.44</v>
      </c>
      <c r="G8">
        <v>2029</v>
      </c>
      <c r="H8">
        <v>97.32</v>
      </c>
      <c r="I8" t="s">
        <v>13</v>
      </c>
      <c r="J8" t="s">
        <v>14</v>
      </c>
    </row>
    <row r="9" spans="1:10" x14ac:dyDescent="0.25">
      <c r="A9">
        <v>5986</v>
      </c>
      <c r="B9" t="s">
        <v>30</v>
      </c>
      <c r="C9">
        <v>20</v>
      </c>
      <c r="D9" t="s">
        <v>31</v>
      </c>
      <c r="E9" t="s">
        <v>12</v>
      </c>
      <c r="F9">
        <v>3.44</v>
      </c>
      <c r="G9">
        <v>2025</v>
      </c>
      <c r="H9">
        <v>72.569999999999993</v>
      </c>
      <c r="I9" t="s">
        <v>13</v>
      </c>
      <c r="J9" t="s">
        <v>21</v>
      </c>
    </row>
    <row r="10" spans="1:10" x14ac:dyDescent="0.25">
      <c r="A10">
        <v>8721</v>
      </c>
      <c r="B10" t="s">
        <v>32</v>
      </c>
      <c r="C10">
        <v>25</v>
      </c>
      <c r="D10" t="s">
        <v>33</v>
      </c>
      <c r="E10" t="s">
        <v>34</v>
      </c>
      <c r="F10">
        <v>3.27</v>
      </c>
      <c r="G10">
        <v>2027</v>
      </c>
      <c r="H10">
        <v>96.39</v>
      </c>
      <c r="I10" t="s">
        <v>13</v>
      </c>
      <c r="J10" t="s">
        <v>14</v>
      </c>
    </row>
    <row r="11" spans="1:10" x14ac:dyDescent="0.25">
      <c r="A11">
        <v>6622</v>
      </c>
      <c r="B11" t="s">
        <v>35</v>
      </c>
      <c r="C11">
        <v>18</v>
      </c>
      <c r="D11" t="s">
        <v>36</v>
      </c>
      <c r="E11" t="s">
        <v>20</v>
      </c>
      <c r="F11">
        <v>3.09</v>
      </c>
      <c r="G11">
        <v>2030</v>
      </c>
      <c r="H11">
        <v>61.74</v>
      </c>
      <c r="I11" t="s">
        <v>13</v>
      </c>
      <c r="J11" t="s">
        <v>21</v>
      </c>
    </row>
    <row r="12" spans="1:10" x14ac:dyDescent="0.25">
      <c r="A12">
        <v>3254</v>
      </c>
      <c r="B12" t="s">
        <v>37</v>
      </c>
      <c r="C12">
        <v>20</v>
      </c>
      <c r="D12" t="s">
        <v>38</v>
      </c>
      <c r="E12" t="s">
        <v>20</v>
      </c>
      <c r="F12">
        <v>3.42</v>
      </c>
      <c r="G12">
        <v>2026</v>
      </c>
      <c r="H12">
        <v>88.28</v>
      </c>
      <c r="I12" t="s">
        <v>13</v>
      </c>
      <c r="J12" t="s">
        <v>14</v>
      </c>
    </row>
    <row r="13" spans="1:10" x14ac:dyDescent="0.25">
      <c r="A13">
        <v>8021</v>
      </c>
      <c r="B13" t="s">
        <v>39</v>
      </c>
      <c r="C13">
        <v>20</v>
      </c>
      <c r="D13" t="s">
        <v>40</v>
      </c>
      <c r="E13" t="s">
        <v>17</v>
      </c>
      <c r="F13">
        <v>2.33</v>
      </c>
      <c r="G13">
        <v>2027</v>
      </c>
      <c r="H13">
        <v>79.36</v>
      </c>
      <c r="I13" t="s">
        <v>13</v>
      </c>
      <c r="J13" t="s">
        <v>14</v>
      </c>
    </row>
    <row r="14" spans="1:10" x14ac:dyDescent="0.25">
      <c r="A14">
        <v>9477</v>
      </c>
      <c r="B14" t="s">
        <v>41</v>
      </c>
      <c r="C14">
        <v>22</v>
      </c>
      <c r="D14" t="s">
        <v>42</v>
      </c>
      <c r="E14" t="s">
        <v>12</v>
      </c>
      <c r="F14">
        <v>3.76</v>
      </c>
      <c r="G14">
        <v>2025</v>
      </c>
      <c r="H14">
        <v>77.77</v>
      </c>
      <c r="I14" t="s">
        <v>13</v>
      </c>
      <c r="J14" t="s">
        <v>14</v>
      </c>
    </row>
    <row r="15" spans="1:10" x14ac:dyDescent="0.25">
      <c r="A15">
        <v>9144</v>
      </c>
      <c r="B15" t="s">
        <v>43</v>
      </c>
      <c r="C15">
        <v>20</v>
      </c>
      <c r="D15" t="s">
        <v>44</v>
      </c>
      <c r="E15" t="s">
        <v>34</v>
      </c>
      <c r="F15">
        <v>2.02</v>
      </c>
      <c r="G15">
        <v>2025</v>
      </c>
      <c r="H15">
        <v>61.45</v>
      </c>
      <c r="I15" t="s">
        <v>13</v>
      </c>
      <c r="J15" t="s">
        <v>14</v>
      </c>
    </row>
    <row r="16" spans="1:10" x14ac:dyDescent="0.25">
      <c r="A16">
        <v>4854</v>
      </c>
      <c r="B16" t="s">
        <v>45</v>
      </c>
      <c r="C16">
        <v>23</v>
      </c>
      <c r="D16" t="s">
        <v>46</v>
      </c>
      <c r="E16" t="s">
        <v>34</v>
      </c>
      <c r="F16">
        <v>3.35</v>
      </c>
      <c r="G16">
        <v>2030</v>
      </c>
      <c r="H16">
        <v>61.63</v>
      </c>
      <c r="I16" t="s">
        <v>13</v>
      </c>
      <c r="J16" t="s">
        <v>21</v>
      </c>
    </row>
    <row r="17" spans="1:10" x14ac:dyDescent="0.25">
      <c r="A17">
        <v>3690</v>
      </c>
      <c r="B17" t="s">
        <v>47</v>
      </c>
      <c r="C17">
        <v>24</v>
      </c>
      <c r="D17" t="s">
        <v>48</v>
      </c>
      <c r="E17" t="s">
        <v>20</v>
      </c>
      <c r="F17">
        <v>3.21</v>
      </c>
      <c r="G17">
        <v>2029</v>
      </c>
      <c r="H17">
        <v>73.31</v>
      </c>
      <c r="I17" t="s">
        <v>13</v>
      </c>
      <c r="J17" t="s">
        <v>21</v>
      </c>
    </row>
    <row r="18" spans="1:10" x14ac:dyDescent="0.25">
      <c r="A18">
        <v>4462</v>
      </c>
      <c r="B18" t="s">
        <v>49</v>
      </c>
      <c r="C18">
        <v>24</v>
      </c>
      <c r="D18" t="s">
        <v>50</v>
      </c>
      <c r="E18" t="s">
        <v>34</v>
      </c>
      <c r="F18">
        <v>3.92</v>
      </c>
      <c r="G18">
        <v>2027</v>
      </c>
      <c r="H18">
        <v>97.88</v>
      </c>
      <c r="I18" t="s">
        <v>13</v>
      </c>
      <c r="J18" t="s">
        <v>21</v>
      </c>
    </row>
    <row r="19" spans="1:10" x14ac:dyDescent="0.25">
      <c r="A19">
        <v>3255</v>
      </c>
      <c r="B19" t="s">
        <v>51</v>
      </c>
      <c r="C19">
        <v>22</v>
      </c>
      <c r="D19" t="s">
        <v>52</v>
      </c>
      <c r="E19" t="s">
        <v>17</v>
      </c>
      <c r="F19">
        <v>3.42</v>
      </c>
      <c r="G19">
        <v>2024</v>
      </c>
      <c r="H19">
        <v>84.71</v>
      </c>
      <c r="I19" t="s">
        <v>13</v>
      </c>
      <c r="J19" t="s">
        <v>14</v>
      </c>
    </row>
    <row r="20" spans="1:10" x14ac:dyDescent="0.25">
      <c r="A20">
        <v>5446</v>
      </c>
      <c r="B20" t="s">
        <v>53</v>
      </c>
      <c r="C20">
        <v>21</v>
      </c>
      <c r="D20" t="s">
        <v>54</v>
      </c>
      <c r="E20" t="s">
        <v>34</v>
      </c>
      <c r="F20">
        <v>3.43</v>
      </c>
      <c r="G20">
        <v>2027</v>
      </c>
      <c r="H20">
        <v>74.75</v>
      </c>
      <c r="I20" t="s">
        <v>55</v>
      </c>
      <c r="J20" t="s">
        <v>14</v>
      </c>
    </row>
    <row r="21" spans="1:10" x14ac:dyDescent="0.25">
      <c r="A21">
        <v>8125</v>
      </c>
      <c r="B21" t="s">
        <v>56</v>
      </c>
      <c r="C21">
        <v>23</v>
      </c>
      <c r="D21" t="s">
        <v>57</v>
      </c>
      <c r="E21" t="s">
        <v>20</v>
      </c>
      <c r="F21">
        <v>2.0499999999999998</v>
      </c>
      <c r="G21">
        <v>2025</v>
      </c>
      <c r="H21">
        <v>84.48</v>
      </c>
      <c r="I21" t="s">
        <v>55</v>
      </c>
      <c r="J21" t="s">
        <v>14</v>
      </c>
    </row>
    <row r="22" spans="1:10" x14ac:dyDescent="0.25">
      <c r="A22">
        <v>3052</v>
      </c>
      <c r="B22" t="s">
        <v>58</v>
      </c>
      <c r="C22">
        <v>18</v>
      </c>
      <c r="D22" t="s">
        <v>59</v>
      </c>
      <c r="E22" t="s">
        <v>34</v>
      </c>
      <c r="F22">
        <v>2.33</v>
      </c>
      <c r="G22">
        <v>2025</v>
      </c>
      <c r="H22">
        <v>68.25</v>
      </c>
      <c r="I22" t="s">
        <v>13</v>
      </c>
      <c r="J22" t="s">
        <v>14</v>
      </c>
    </row>
    <row r="23" spans="1:10" x14ac:dyDescent="0.25">
      <c r="A23">
        <v>2602</v>
      </c>
      <c r="B23" t="s">
        <v>60</v>
      </c>
      <c r="C23">
        <v>23</v>
      </c>
      <c r="D23" t="s">
        <v>61</v>
      </c>
      <c r="E23" t="s">
        <v>20</v>
      </c>
      <c r="F23">
        <v>3.68</v>
      </c>
      <c r="G23">
        <v>2028</v>
      </c>
      <c r="H23">
        <v>66.599999999999994</v>
      </c>
      <c r="I23" t="s">
        <v>13</v>
      </c>
      <c r="J23" t="s">
        <v>21</v>
      </c>
    </row>
    <row r="24" spans="1:10" x14ac:dyDescent="0.25">
      <c r="A24">
        <v>1866</v>
      </c>
      <c r="B24" t="s">
        <v>62</v>
      </c>
      <c r="C24">
        <v>25</v>
      </c>
      <c r="D24" t="s">
        <v>63</v>
      </c>
      <c r="E24" t="s">
        <v>12</v>
      </c>
      <c r="F24">
        <v>3.84</v>
      </c>
      <c r="G24">
        <v>2028</v>
      </c>
      <c r="H24">
        <v>74.47</v>
      </c>
      <c r="I24" t="s">
        <v>13</v>
      </c>
      <c r="J24" t="s">
        <v>21</v>
      </c>
    </row>
    <row r="25" spans="1:10" x14ac:dyDescent="0.25">
      <c r="A25">
        <v>4908</v>
      </c>
      <c r="B25" t="s">
        <v>64</v>
      </c>
      <c r="C25">
        <v>21</v>
      </c>
      <c r="D25" t="s">
        <v>65</v>
      </c>
      <c r="E25" t="s">
        <v>17</v>
      </c>
      <c r="F25">
        <v>3.82</v>
      </c>
      <c r="G25">
        <v>2027</v>
      </c>
      <c r="H25">
        <v>94.53</v>
      </c>
      <c r="I25" t="s">
        <v>13</v>
      </c>
      <c r="J25" t="s">
        <v>14</v>
      </c>
    </row>
    <row r="26" spans="1:10" x14ac:dyDescent="0.25">
      <c r="A26">
        <v>6711</v>
      </c>
      <c r="B26" t="s">
        <v>66</v>
      </c>
      <c r="C26">
        <v>22</v>
      </c>
      <c r="D26" t="s">
        <v>67</v>
      </c>
      <c r="E26" t="s">
        <v>34</v>
      </c>
      <c r="F26">
        <v>2.99</v>
      </c>
      <c r="G26">
        <v>2026</v>
      </c>
      <c r="H26">
        <v>80.38</v>
      </c>
      <c r="I26" t="s">
        <v>13</v>
      </c>
      <c r="J26" t="s">
        <v>14</v>
      </c>
    </row>
    <row r="27" spans="1:10" x14ac:dyDescent="0.25">
      <c r="A27">
        <v>1165</v>
      </c>
      <c r="B27" t="s">
        <v>68</v>
      </c>
      <c r="C27">
        <v>22</v>
      </c>
      <c r="D27" t="s">
        <v>69</v>
      </c>
      <c r="E27" t="s">
        <v>70</v>
      </c>
      <c r="F27">
        <v>2.4900000000000002</v>
      </c>
      <c r="G27">
        <v>2024</v>
      </c>
      <c r="H27">
        <v>71.88</v>
      </c>
      <c r="I27" t="s">
        <v>13</v>
      </c>
      <c r="J27" t="s">
        <v>14</v>
      </c>
    </row>
    <row r="28" spans="1:10" x14ac:dyDescent="0.25">
      <c r="A28">
        <v>7657</v>
      </c>
      <c r="B28" t="s">
        <v>71</v>
      </c>
      <c r="C28">
        <v>19</v>
      </c>
      <c r="D28" t="s">
        <v>72</v>
      </c>
      <c r="E28" t="s">
        <v>12</v>
      </c>
      <c r="F28">
        <v>3.16</v>
      </c>
      <c r="G28">
        <v>2024</v>
      </c>
      <c r="H28">
        <v>98.01</v>
      </c>
      <c r="I28" t="s">
        <v>13</v>
      </c>
      <c r="J28" t="s">
        <v>21</v>
      </c>
    </row>
    <row r="29" spans="1:10" x14ac:dyDescent="0.25">
      <c r="A29">
        <v>4776</v>
      </c>
      <c r="B29" t="s">
        <v>73</v>
      </c>
      <c r="C29">
        <v>24</v>
      </c>
      <c r="D29" t="s">
        <v>74</v>
      </c>
      <c r="E29" t="s">
        <v>20</v>
      </c>
      <c r="F29">
        <v>3.56</v>
      </c>
      <c r="G29">
        <v>2026</v>
      </c>
      <c r="H29">
        <v>92.64</v>
      </c>
      <c r="I29" t="s">
        <v>13</v>
      </c>
      <c r="J29" t="s">
        <v>21</v>
      </c>
    </row>
    <row r="30" spans="1:10" x14ac:dyDescent="0.25">
      <c r="A30">
        <v>5711</v>
      </c>
      <c r="B30" t="s">
        <v>75</v>
      </c>
      <c r="C30">
        <v>25</v>
      </c>
      <c r="D30" t="s">
        <v>76</v>
      </c>
      <c r="E30" t="s">
        <v>20</v>
      </c>
      <c r="F30">
        <v>3.58</v>
      </c>
      <c r="G30">
        <v>2030</v>
      </c>
      <c r="H30">
        <v>72.92</v>
      </c>
      <c r="I30" t="s">
        <v>13</v>
      </c>
      <c r="J30" t="s">
        <v>21</v>
      </c>
    </row>
    <row r="31" spans="1:10" x14ac:dyDescent="0.25">
      <c r="A31">
        <v>8511</v>
      </c>
      <c r="B31" t="s">
        <v>77</v>
      </c>
      <c r="C31">
        <v>19</v>
      </c>
      <c r="D31" t="s">
        <v>78</v>
      </c>
      <c r="E31" t="s">
        <v>17</v>
      </c>
      <c r="F31">
        <v>2.82</v>
      </c>
      <c r="G31">
        <v>2024</v>
      </c>
      <c r="H31">
        <v>98.88</v>
      </c>
      <c r="I31" t="s">
        <v>13</v>
      </c>
      <c r="J31" t="s">
        <v>21</v>
      </c>
    </row>
    <row r="32" spans="1:10" x14ac:dyDescent="0.25">
      <c r="A32">
        <v>4009</v>
      </c>
      <c r="B32" t="s">
        <v>79</v>
      </c>
      <c r="C32">
        <v>21</v>
      </c>
      <c r="D32" t="s">
        <v>80</v>
      </c>
      <c r="E32" t="s">
        <v>20</v>
      </c>
      <c r="F32">
        <v>2.98</v>
      </c>
      <c r="G32">
        <v>2029</v>
      </c>
      <c r="H32">
        <v>99.49</v>
      </c>
      <c r="I32" t="s">
        <v>13</v>
      </c>
      <c r="J32" t="s">
        <v>21</v>
      </c>
    </row>
    <row r="33" spans="1:10" x14ac:dyDescent="0.25">
      <c r="A33">
        <v>7998</v>
      </c>
      <c r="B33" t="s">
        <v>81</v>
      </c>
      <c r="C33">
        <v>24</v>
      </c>
      <c r="D33" t="s">
        <v>82</v>
      </c>
      <c r="E33" t="s">
        <v>17</v>
      </c>
      <c r="F33">
        <v>3.21</v>
      </c>
      <c r="G33">
        <v>2030</v>
      </c>
      <c r="H33">
        <v>76.349999999999994</v>
      </c>
      <c r="I33" t="s">
        <v>13</v>
      </c>
      <c r="J33" t="s">
        <v>21</v>
      </c>
    </row>
    <row r="34" spans="1:10" x14ac:dyDescent="0.25">
      <c r="A34">
        <v>5676</v>
      </c>
      <c r="B34" t="s">
        <v>83</v>
      </c>
      <c r="C34">
        <v>22</v>
      </c>
      <c r="D34" t="s">
        <v>84</v>
      </c>
      <c r="E34" t="s">
        <v>17</v>
      </c>
      <c r="F34">
        <v>2.15</v>
      </c>
      <c r="G34">
        <v>2030</v>
      </c>
      <c r="H34">
        <v>86.24</v>
      </c>
      <c r="I34" t="s">
        <v>55</v>
      </c>
      <c r="J34" t="s">
        <v>21</v>
      </c>
    </row>
    <row r="35" spans="1:10" x14ac:dyDescent="0.25">
      <c r="A35">
        <v>8134</v>
      </c>
      <c r="B35" t="s">
        <v>85</v>
      </c>
      <c r="C35">
        <v>19</v>
      </c>
      <c r="D35" t="s">
        <v>86</v>
      </c>
      <c r="E35" t="s">
        <v>34</v>
      </c>
      <c r="F35">
        <v>2.73</v>
      </c>
      <c r="G35">
        <v>2030</v>
      </c>
      <c r="H35">
        <v>76.23</v>
      </c>
      <c r="I35" t="s">
        <v>13</v>
      </c>
      <c r="J35" t="s">
        <v>21</v>
      </c>
    </row>
    <row r="36" spans="1:10" x14ac:dyDescent="0.25">
      <c r="A36">
        <v>5119</v>
      </c>
      <c r="B36" t="s">
        <v>87</v>
      </c>
      <c r="C36">
        <v>25</v>
      </c>
      <c r="D36" t="s">
        <v>88</v>
      </c>
      <c r="E36" t="s">
        <v>20</v>
      </c>
      <c r="F36">
        <v>2.92</v>
      </c>
      <c r="G36">
        <v>2024</v>
      </c>
      <c r="H36">
        <v>70.290000000000006</v>
      </c>
      <c r="I36" t="s">
        <v>13</v>
      </c>
      <c r="J36" t="s">
        <v>21</v>
      </c>
    </row>
    <row r="37" spans="1:10" x14ac:dyDescent="0.25">
      <c r="A37">
        <v>7304</v>
      </c>
      <c r="B37" t="s">
        <v>89</v>
      </c>
      <c r="C37">
        <v>25</v>
      </c>
      <c r="D37" t="s">
        <v>90</v>
      </c>
      <c r="E37" t="s">
        <v>12</v>
      </c>
      <c r="F37">
        <v>3.51</v>
      </c>
      <c r="G37">
        <v>2024</v>
      </c>
      <c r="H37">
        <v>63.31</v>
      </c>
      <c r="I37" t="s">
        <v>13</v>
      </c>
      <c r="J37" t="s">
        <v>21</v>
      </c>
    </row>
    <row r="38" spans="1:10" x14ac:dyDescent="0.25">
      <c r="A38">
        <v>3663</v>
      </c>
      <c r="B38" t="s">
        <v>91</v>
      </c>
      <c r="C38">
        <v>19</v>
      </c>
      <c r="D38" t="s">
        <v>92</v>
      </c>
      <c r="E38" t="s">
        <v>70</v>
      </c>
      <c r="F38">
        <v>2.75</v>
      </c>
      <c r="G38">
        <v>2028</v>
      </c>
      <c r="H38">
        <v>70.540000000000006</v>
      </c>
      <c r="I38" t="s">
        <v>13</v>
      </c>
      <c r="J38" t="s">
        <v>14</v>
      </c>
    </row>
    <row r="39" spans="1:10" x14ac:dyDescent="0.25">
      <c r="A39">
        <v>6423</v>
      </c>
      <c r="B39" t="s">
        <v>93</v>
      </c>
      <c r="C39">
        <v>22</v>
      </c>
      <c r="D39" t="s">
        <v>94</v>
      </c>
      <c r="E39" t="s">
        <v>17</v>
      </c>
      <c r="F39">
        <v>3.26</v>
      </c>
      <c r="G39">
        <v>2028</v>
      </c>
      <c r="H39">
        <v>70.86</v>
      </c>
      <c r="I39" t="s">
        <v>13</v>
      </c>
      <c r="J39" t="s">
        <v>14</v>
      </c>
    </row>
    <row r="40" spans="1:10" x14ac:dyDescent="0.25">
      <c r="A40">
        <v>5155</v>
      </c>
      <c r="B40" t="s">
        <v>95</v>
      </c>
      <c r="C40">
        <v>24</v>
      </c>
      <c r="D40" t="s">
        <v>96</v>
      </c>
      <c r="E40" t="s">
        <v>17</v>
      </c>
      <c r="F40">
        <v>3.74</v>
      </c>
      <c r="G40">
        <v>2024</v>
      </c>
      <c r="H40">
        <v>75.95</v>
      </c>
      <c r="I40" t="s">
        <v>13</v>
      </c>
      <c r="J40" t="s">
        <v>14</v>
      </c>
    </row>
    <row r="41" spans="1:10" x14ac:dyDescent="0.25">
      <c r="A41">
        <v>1066</v>
      </c>
      <c r="B41" t="s">
        <v>97</v>
      </c>
      <c r="C41">
        <v>19</v>
      </c>
      <c r="D41" t="s">
        <v>98</v>
      </c>
      <c r="E41" t="s">
        <v>70</v>
      </c>
      <c r="F41">
        <v>3.26</v>
      </c>
      <c r="G41">
        <v>2028</v>
      </c>
      <c r="H41">
        <v>67.400000000000006</v>
      </c>
      <c r="I41" t="s">
        <v>13</v>
      </c>
      <c r="J41" t="s">
        <v>14</v>
      </c>
    </row>
    <row r="42" spans="1:10" x14ac:dyDescent="0.25">
      <c r="A42">
        <v>5773</v>
      </c>
      <c r="B42" t="s">
        <v>99</v>
      </c>
      <c r="C42">
        <v>24</v>
      </c>
      <c r="D42" t="s">
        <v>100</v>
      </c>
      <c r="E42" t="s">
        <v>20</v>
      </c>
      <c r="F42">
        <v>2.37</v>
      </c>
      <c r="G42">
        <v>2024</v>
      </c>
      <c r="H42">
        <v>98.15</v>
      </c>
      <c r="I42" t="s">
        <v>13</v>
      </c>
      <c r="J42" t="s">
        <v>14</v>
      </c>
    </row>
    <row r="43" spans="1:10" x14ac:dyDescent="0.25">
      <c r="A43">
        <v>8417</v>
      </c>
      <c r="B43" t="s">
        <v>101</v>
      </c>
      <c r="C43">
        <v>19</v>
      </c>
      <c r="D43" t="s">
        <v>102</v>
      </c>
      <c r="E43" t="s">
        <v>12</v>
      </c>
      <c r="F43">
        <v>2.67</v>
      </c>
      <c r="G43">
        <v>2027</v>
      </c>
      <c r="H43">
        <v>64.12</v>
      </c>
      <c r="I43" t="s">
        <v>13</v>
      </c>
      <c r="J43" t="s">
        <v>14</v>
      </c>
    </row>
    <row r="44" spans="1:10" x14ac:dyDescent="0.25">
      <c r="A44">
        <v>4235</v>
      </c>
      <c r="B44" t="s">
        <v>103</v>
      </c>
      <c r="C44">
        <v>22</v>
      </c>
      <c r="D44" t="s">
        <v>104</v>
      </c>
      <c r="E44" t="s">
        <v>12</v>
      </c>
      <c r="F44">
        <v>2.02</v>
      </c>
      <c r="G44">
        <v>2028</v>
      </c>
      <c r="H44">
        <v>85.01</v>
      </c>
      <c r="I44" t="s">
        <v>13</v>
      </c>
      <c r="J44" t="s">
        <v>14</v>
      </c>
    </row>
    <row r="45" spans="1:10" x14ac:dyDescent="0.25">
      <c r="A45">
        <v>7002</v>
      </c>
      <c r="B45" t="s">
        <v>105</v>
      </c>
      <c r="C45">
        <v>18</v>
      </c>
      <c r="D45" t="s">
        <v>106</v>
      </c>
      <c r="E45" t="s">
        <v>17</v>
      </c>
      <c r="F45">
        <v>2.7</v>
      </c>
      <c r="G45">
        <v>2028</v>
      </c>
      <c r="H45">
        <v>77.67</v>
      </c>
      <c r="I45" t="s">
        <v>13</v>
      </c>
      <c r="J45" t="s">
        <v>14</v>
      </c>
    </row>
    <row r="46" spans="1:10" x14ac:dyDescent="0.25">
      <c r="A46">
        <v>5998</v>
      </c>
      <c r="B46" t="s">
        <v>107</v>
      </c>
      <c r="C46">
        <v>18</v>
      </c>
      <c r="D46" t="s">
        <v>108</v>
      </c>
      <c r="E46" t="s">
        <v>34</v>
      </c>
      <c r="F46">
        <v>3.5</v>
      </c>
      <c r="G46">
        <v>2030</v>
      </c>
      <c r="H46">
        <v>76.94</v>
      </c>
      <c r="I46" t="s">
        <v>13</v>
      </c>
      <c r="J46" t="s">
        <v>14</v>
      </c>
    </row>
    <row r="47" spans="1:10" x14ac:dyDescent="0.25">
      <c r="A47">
        <v>9661</v>
      </c>
      <c r="B47" t="s">
        <v>109</v>
      </c>
      <c r="C47">
        <v>18</v>
      </c>
      <c r="D47" t="s">
        <v>110</v>
      </c>
      <c r="E47" t="s">
        <v>17</v>
      </c>
      <c r="F47">
        <v>3.6</v>
      </c>
      <c r="G47">
        <v>2027</v>
      </c>
      <c r="H47">
        <v>74.88</v>
      </c>
      <c r="I47" t="s">
        <v>13</v>
      </c>
      <c r="J47" t="s">
        <v>14</v>
      </c>
    </row>
    <row r="48" spans="1:10" x14ac:dyDescent="0.25">
      <c r="A48">
        <v>5144</v>
      </c>
      <c r="B48" t="s">
        <v>111</v>
      </c>
      <c r="C48">
        <v>20</v>
      </c>
      <c r="D48" t="s">
        <v>112</v>
      </c>
      <c r="E48" t="s">
        <v>70</v>
      </c>
      <c r="F48">
        <v>3.47</v>
      </c>
      <c r="G48">
        <v>2029</v>
      </c>
      <c r="H48">
        <v>94.73</v>
      </c>
      <c r="I48" t="s">
        <v>13</v>
      </c>
      <c r="J48" t="s">
        <v>14</v>
      </c>
    </row>
    <row r="49" spans="1:10" x14ac:dyDescent="0.25">
      <c r="A49">
        <v>3719</v>
      </c>
      <c r="B49" t="s">
        <v>113</v>
      </c>
      <c r="C49">
        <v>25</v>
      </c>
      <c r="D49" t="s">
        <v>114</v>
      </c>
      <c r="E49" t="s">
        <v>34</v>
      </c>
      <c r="F49">
        <v>3.05</v>
      </c>
      <c r="G49">
        <v>2030</v>
      </c>
      <c r="H49">
        <v>71.22</v>
      </c>
      <c r="I49" t="s">
        <v>13</v>
      </c>
      <c r="J49" t="s">
        <v>21</v>
      </c>
    </row>
    <row r="50" spans="1:10" x14ac:dyDescent="0.25">
      <c r="A50">
        <v>9310</v>
      </c>
      <c r="B50" t="s">
        <v>115</v>
      </c>
      <c r="C50">
        <v>25</v>
      </c>
      <c r="D50" t="s">
        <v>116</v>
      </c>
      <c r="E50" t="s">
        <v>20</v>
      </c>
      <c r="F50">
        <v>3.06</v>
      </c>
      <c r="G50">
        <v>2025</v>
      </c>
      <c r="H50">
        <v>60.82</v>
      </c>
      <c r="I50" t="s">
        <v>13</v>
      </c>
      <c r="J50" t="s">
        <v>14</v>
      </c>
    </row>
    <row r="51" spans="1:10" x14ac:dyDescent="0.25">
      <c r="A51">
        <v>9271</v>
      </c>
      <c r="B51" t="s">
        <v>117</v>
      </c>
      <c r="C51">
        <v>19</v>
      </c>
      <c r="D51" t="s">
        <v>118</v>
      </c>
      <c r="E51" t="s">
        <v>17</v>
      </c>
      <c r="F51">
        <v>3.94</v>
      </c>
      <c r="G51">
        <v>2030</v>
      </c>
      <c r="H51">
        <v>96.72</v>
      </c>
      <c r="I51" t="s">
        <v>13</v>
      </c>
      <c r="J51" t="s">
        <v>21</v>
      </c>
    </row>
    <row r="52" spans="1:10" x14ac:dyDescent="0.25">
      <c r="A52">
        <v>4603</v>
      </c>
      <c r="B52" t="s">
        <v>119</v>
      </c>
      <c r="C52">
        <v>22</v>
      </c>
      <c r="D52" t="s">
        <v>120</v>
      </c>
      <c r="E52" t="s">
        <v>12</v>
      </c>
      <c r="F52">
        <v>2.13</v>
      </c>
      <c r="G52">
        <v>2030</v>
      </c>
      <c r="H52">
        <v>94.58</v>
      </c>
      <c r="I52" t="s">
        <v>13</v>
      </c>
      <c r="J52" t="s">
        <v>14</v>
      </c>
    </row>
    <row r="53" spans="1:10" x14ac:dyDescent="0.25">
      <c r="A53">
        <v>5001</v>
      </c>
      <c r="B53" t="s">
        <v>121</v>
      </c>
      <c r="C53">
        <v>23</v>
      </c>
      <c r="D53" t="s">
        <v>122</v>
      </c>
      <c r="E53" t="s">
        <v>17</v>
      </c>
      <c r="F53">
        <v>3.64</v>
      </c>
      <c r="G53">
        <v>2025</v>
      </c>
      <c r="H53">
        <v>71.08</v>
      </c>
      <c r="I53" t="s">
        <v>13</v>
      </c>
      <c r="J53" t="s">
        <v>21</v>
      </c>
    </row>
    <row r="54" spans="1:10" x14ac:dyDescent="0.25">
      <c r="A54">
        <v>5618</v>
      </c>
      <c r="B54" t="s">
        <v>123</v>
      </c>
      <c r="C54">
        <v>22</v>
      </c>
      <c r="D54" t="s">
        <v>124</v>
      </c>
      <c r="E54" t="s">
        <v>20</v>
      </c>
      <c r="F54">
        <v>3.56</v>
      </c>
      <c r="G54">
        <v>2027</v>
      </c>
      <c r="H54">
        <v>80.94</v>
      </c>
      <c r="I54" t="s">
        <v>13</v>
      </c>
      <c r="J54" t="s">
        <v>21</v>
      </c>
    </row>
    <row r="55" spans="1:10" x14ac:dyDescent="0.25">
      <c r="A55">
        <v>3205</v>
      </c>
      <c r="B55" t="s">
        <v>125</v>
      </c>
      <c r="C55">
        <v>20</v>
      </c>
      <c r="D55" t="s">
        <v>126</v>
      </c>
      <c r="E55" t="s">
        <v>17</v>
      </c>
      <c r="F55">
        <v>3.16</v>
      </c>
      <c r="G55">
        <v>2029</v>
      </c>
      <c r="H55">
        <v>64.36</v>
      </c>
      <c r="I55" t="s">
        <v>13</v>
      </c>
      <c r="J55" t="s">
        <v>14</v>
      </c>
    </row>
    <row r="56" spans="1:10" x14ac:dyDescent="0.25">
      <c r="A56">
        <v>8431</v>
      </c>
      <c r="B56" t="s">
        <v>127</v>
      </c>
      <c r="C56">
        <v>25</v>
      </c>
      <c r="D56" t="s">
        <v>128</v>
      </c>
      <c r="E56" t="s">
        <v>17</v>
      </c>
      <c r="F56">
        <v>3.56</v>
      </c>
      <c r="G56">
        <v>2030</v>
      </c>
      <c r="H56">
        <v>63.74</v>
      </c>
      <c r="I56" t="s">
        <v>13</v>
      </c>
      <c r="J56" t="s">
        <v>21</v>
      </c>
    </row>
    <row r="57" spans="1:10" x14ac:dyDescent="0.25">
      <c r="A57">
        <v>4604</v>
      </c>
      <c r="B57" t="s">
        <v>129</v>
      </c>
      <c r="C57">
        <v>19</v>
      </c>
      <c r="D57" t="s">
        <v>130</v>
      </c>
      <c r="E57" t="s">
        <v>20</v>
      </c>
      <c r="F57">
        <v>2.81</v>
      </c>
      <c r="G57">
        <v>2025</v>
      </c>
      <c r="H57">
        <v>93.5</v>
      </c>
      <c r="I57" t="s">
        <v>13</v>
      </c>
      <c r="J57" t="s">
        <v>21</v>
      </c>
    </row>
    <row r="58" spans="1:10" x14ac:dyDescent="0.25">
      <c r="A58">
        <v>7287</v>
      </c>
      <c r="B58" t="s">
        <v>131</v>
      </c>
      <c r="C58">
        <v>23</v>
      </c>
      <c r="D58" t="s">
        <v>132</v>
      </c>
      <c r="E58" t="s">
        <v>17</v>
      </c>
      <c r="F58">
        <v>2.94</v>
      </c>
      <c r="G58">
        <v>2024</v>
      </c>
      <c r="H58">
        <v>76.41</v>
      </c>
      <c r="I58" t="s">
        <v>13</v>
      </c>
      <c r="J58" t="s">
        <v>14</v>
      </c>
    </row>
    <row r="59" spans="1:10" x14ac:dyDescent="0.25">
      <c r="A59">
        <v>3481</v>
      </c>
      <c r="B59" t="s">
        <v>133</v>
      </c>
      <c r="C59">
        <v>19</v>
      </c>
      <c r="D59" t="s">
        <v>134</v>
      </c>
      <c r="E59" t="s">
        <v>34</v>
      </c>
      <c r="F59">
        <v>3.8</v>
      </c>
      <c r="G59">
        <v>2027</v>
      </c>
      <c r="H59">
        <v>86.47</v>
      </c>
      <c r="I59" t="s">
        <v>13</v>
      </c>
      <c r="J59" t="s">
        <v>14</v>
      </c>
    </row>
    <row r="60" spans="1:10" x14ac:dyDescent="0.25">
      <c r="A60">
        <v>3068</v>
      </c>
      <c r="B60" t="s">
        <v>135</v>
      </c>
      <c r="C60">
        <v>21</v>
      </c>
      <c r="D60" t="s">
        <v>136</v>
      </c>
      <c r="E60" t="s">
        <v>12</v>
      </c>
      <c r="F60">
        <v>2.62</v>
      </c>
      <c r="G60">
        <v>2030</v>
      </c>
      <c r="H60">
        <v>97.73</v>
      </c>
      <c r="I60" t="s">
        <v>13</v>
      </c>
      <c r="J60" t="s">
        <v>14</v>
      </c>
    </row>
    <row r="61" spans="1:10" x14ac:dyDescent="0.25">
      <c r="A61">
        <v>4514</v>
      </c>
      <c r="B61" t="s">
        <v>137</v>
      </c>
      <c r="C61">
        <v>25</v>
      </c>
      <c r="D61" t="s">
        <v>138</v>
      </c>
      <c r="E61" t="s">
        <v>70</v>
      </c>
      <c r="F61">
        <v>2.1</v>
      </c>
      <c r="G61">
        <v>2024</v>
      </c>
      <c r="H61">
        <v>69.81</v>
      </c>
      <c r="I61" t="s">
        <v>13</v>
      </c>
      <c r="J61" t="s">
        <v>14</v>
      </c>
    </row>
    <row r="62" spans="1:10" x14ac:dyDescent="0.25">
      <c r="A62">
        <v>2499</v>
      </c>
      <c r="B62" t="s">
        <v>139</v>
      </c>
      <c r="C62">
        <v>23</v>
      </c>
      <c r="D62" t="s">
        <v>140</v>
      </c>
      <c r="E62" t="s">
        <v>70</v>
      </c>
      <c r="F62">
        <v>2.39</v>
      </c>
      <c r="G62">
        <v>2027</v>
      </c>
      <c r="H62">
        <v>60.53</v>
      </c>
      <c r="I62" t="s">
        <v>13</v>
      </c>
      <c r="J62" t="s">
        <v>14</v>
      </c>
    </row>
    <row r="63" spans="1:10" x14ac:dyDescent="0.25">
      <c r="A63">
        <v>5212</v>
      </c>
      <c r="B63" t="s">
        <v>141</v>
      </c>
      <c r="C63">
        <v>23</v>
      </c>
      <c r="D63" t="s">
        <v>142</v>
      </c>
      <c r="E63" t="s">
        <v>12</v>
      </c>
      <c r="F63">
        <v>3.29</v>
      </c>
      <c r="G63">
        <v>2028</v>
      </c>
      <c r="H63">
        <v>60.97</v>
      </c>
      <c r="I63" t="s">
        <v>13</v>
      </c>
      <c r="J63" t="s">
        <v>14</v>
      </c>
    </row>
    <row r="64" spans="1:10" x14ac:dyDescent="0.25">
      <c r="A64">
        <v>5550</v>
      </c>
      <c r="B64" t="s">
        <v>143</v>
      </c>
      <c r="C64">
        <v>22</v>
      </c>
      <c r="D64" t="s">
        <v>144</v>
      </c>
      <c r="E64" t="s">
        <v>20</v>
      </c>
      <c r="F64">
        <v>3.51</v>
      </c>
      <c r="G64">
        <v>2027</v>
      </c>
      <c r="H64">
        <v>88.38</v>
      </c>
      <c r="I64" t="s">
        <v>13</v>
      </c>
      <c r="J64" t="s">
        <v>14</v>
      </c>
    </row>
    <row r="65" spans="1:10" x14ac:dyDescent="0.25">
      <c r="A65">
        <v>8265</v>
      </c>
      <c r="B65" t="s">
        <v>145</v>
      </c>
      <c r="C65">
        <v>24</v>
      </c>
      <c r="D65" t="s">
        <v>146</v>
      </c>
      <c r="E65" t="s">
        <v>17</v>
      </c>
      <c r="F65">
        <v>2.79</v>
      </c>
      <c r="G65">
        <v>2027</v>
      </c>
      <c r="H65">
        <v>96.98</v>
      </c>
      <c r="I65" t="s">
        <v>13</v>
      </c>
      <c r="J65" t="s">
        <v>14</v>
      </c>
    </row>
    <row r="66" spans="1:10" x14ac:dyDescent="0.25">
      <c r="A66">
        <v>6398</v>
      </c>
      <c r="B66" t="s">
        <v>147</v>
      </c>
      <c r="C66">
        <v>18</v>
      </c>
      <c r="D66" t="s">
        <v>148</v>
      </c>
      <c r="E66" t="s">
        <v>34</v>
      </c>
      <c r="F66">
        <v>2.4700000000000002</v>
      </c>
      <c r="G66">
        <v>2025</v>
      </c>
      <c r="H66">
        <v>78.69</v>
      </c>
      <c r="I66" t="s">
        <v>13</v>
      </c>
      <c r="J66" t="s">
        <v>14</v>
      </c>
    </row>
    <row r="67" spans="1:10" x14ac:dyDescent="0.25">
      <c r="A67">
        <v>2706</v>
      </c>
      <c r="B67" t="s">
        <v>149</v>
      </c>
      <c r="C67">
        <v>24</v>
      </c>
      <c r="D67" t="s">
        <v>150</v>
      </c>
      <c r="E67" t="s">
        <v>34</v>
      </c>
      <c r="F67">
        <v>3.88</v>
      </c>
      <c r="G67">
        <v>2025</v>
      </c>
      <c r="H67">
        <v>75</v>
      </c>
      <c r="I67" t="s">
        <v>13</v>
      </c>
      <c r="J67" t="s">
        <v>14</v>
      </c>
    </row>
    <row r="68" spans="1:10" x14ac:dyDescent="0.25">
      <c r="A68">
        <v>9410</v>
      </c>
      <c r="B68" t="s">
        <v>151</v>
      </c>
      <c r="C68">
        <v>19</v>
      </c>
      <c r="D68" t="s">
        <v>152</v>
      </c>
      <c r="E68" t="s">
        <v>34</v>
      </c>
      <c r="F68">
        <v>2.75</v>
      </c>
      <c r="G68">
        <v>2029</v>
      </c>
      <c r="H68">
        <v>81.709999999999994</v>
      </c>
      <c r="I68" t="s">
        <v>55</v>
      </c>
      <c r="J68" t="s">
        <v>21</v>
      </c>
    </row>
    <row r="69" spans="1:10" x14ac:dyDescent="0.25">
      <c r="A69">
        <v>5851</v>
      </c>
      <c r="B69" t="s">
        <v>153</v>
      </c>
      <c r="C69">
        <v>19</v>
      </c>
      <c r="D69" t="s">
        <v>154</v>
      </c>
      <c r="E69" t="s">
        <v>34</v>
      </c>
      <c r="F69">
        <v>2.1800000000000002</v>
      </c>
      <c r="G69">
        <v>2030</v>
      </c>
      <c r="H69">
        <v>94.36</v>
      </c>
      <c r="I69" t="s">
        <v>13</v>
      </c>
      <c r="J69" t="s">
        <v>21</v>
      </c>
    </row>
    <row r="70" spans="1:10" x14ac:dyDescent="0.25">
      <c r="A70">
        <v>9842</v>
      </c>
      <c r="B70" t="s">
        <v>155</v>
      </c>
      <c r="C70">
        <v>19</v>
      </c>
      <c r="D70" t="s">
        <v>156</v>
      </c>
      <c r="E70" t="s">
        <v>12</v>
      </c>
      <c r="F70">
        <v>3.18</v>
      </c>
      <c r="G70">
        <v>2027</v>
      </c>
      <c r="H70">
        <v>86.09</v>
      </c>
      <c r="I70" t="s">
        <v>13</v>
      </c>
      <c r="J70" t="s">
        <v>21</v>
      </c>
    </row>
    <row r="71" spans="1:10" x14ac:dyDescent="0.25">
      <c r="A71">
        <v>6069</v>
      </c>
      <c r="B71" t="s">
        <v>157</v>
      </c>
      <c r="C71">
        <v>20</v>
      </c>
      <c r="D71" t="s">
        <v>158</v>
      </c>
      <c r="E71" t="s">
        <v>17</v>
      </c>
      <c r="F71">
        <v>2.33</v>
      </c>
      <c r="G71">
        <v>2029</v>
      </c>
      <c r="H71">
        <v>69.319999999999993</v>
      </c>
      <c r="I71" t="s">
        <v>13</v>
      </c>
      <c r="J71" t="s">
        <v>14</v>
      </c>
    </row>
    <row r="72" spans="1:10" x14ac:dyDescent="0.25">
      <c r="A72">
        <v>7081</v>
      </c>
      <c r="B72" t="s">
        <v>159</v>
      </c>
      <c r="C72">
        <v>22</v>
      </c>
      <c r="D72" t="s">
        <v>160</v>
      </c>
      <c r="E72" t="s">
        <v>17</v>
      </c>
      <c r="F72">
        <v>3.46</v>
      </c>
      <c r="G72">
        <v>2027</v>
      </c>
      <c r="H72">
        <v>90.98</v>
      </c>
      <c r="I72" t="s">
        <v>13</v>
      </c>
      <c r="J72" t="s">
        <v>21</v>
      </c>
    </row>
    <row r="73" spans="1:10" x14ac:dyDescent="0.25">
      <c r="A73">
        <v>9812</v>
      </c>
      <c r="B73" t="s">
        <v>161</v>
      </c>
      <c r="C73">
        <v>20</v>
      </c>
      <c r="D73" t="s">
        <v>162</v>
      </c>
      <c r="E73" t="s">
        <v>20</v>
      </c>
      <c r="F73">
        <v>3.92</v>
      </c>
      <c r="G73">
        <v>2030</v>
      </c>
      <c r="H73">
        <v>65.38</v>
      </c>
      <c r="I73" t="s">
        <v>13</v>
      </c>
      <c r="J73" t="s">
        <v>21</v>
      </c>
    </row>
    <row r="74" spans="1:10" x14ac:dyDescent="0.25">
      <c r="A74">
        <v>1790</v>
      </c>
      <c r="B74" t="s">
        <v>163</v>
      </c>
      <c r="C74">
        <v>19</v>
      </c>
      <c r="D74" t="s">
        <v>164</v>
      </c>
      <c r="E74" t="s">
        <v>20</v>
      </c>
      <c r="F74">
        <v>3.92</v>
      </c>
      <c r="G74">
        <v>2028</v>
      </c>
      <c r="H74">
        <v>66.62</v>
      </c>
      <c r="I74" t="s">
        <v>13</v>
      </c>
      <c r="J74" t="s">
        <v>21</v>
      </c>
    </row>
    <row r="75" spans="1:10" x14ac:dyDescent="0.25">
      <c r="A75">
        <v>8268</v>
      </c>
      <c r="B75" t="s">
        <v>165</v>
      </c>
      <c r="C75">
        <v>20</v>
      </c>
      <c r="D75" t="s">
        <v>166</v>
      </c>
      <c r="E75" t="s">
        <v>12</v>
      </c>
      <c r="F75">
        <v>2.87</v>
      </c>
      <c r="G75">
        <v>2025</v>
      </c>
      <c r="H75">
        <v>84.51</v>
      </c>
      <c r="I75" t="s">
        <v>13</v>
      </c>
      <c r="J75" t="s">
        <v>21</v>
      </c>
    </row>
    <row r="76" spans="1:10" x14ac:dyDescent="0.25">
      <c r="A76">
        <v>1383</v>
      </c>
      <c r="B76" t="s">
        <v>167</v>
      </c>
      <c r="C76">
        <v>18</v>
      </c>
      <c r="D76" t="s">
        <v>168</v>
      </c>
      <c r="E76" t="s">
        <v>17</v>
      </c>
      <c r="F76">
        <v>3.68</v>
      </c>
      <c r="G76">
        <v>2026</v>
      </c>
      <c r="H76">
        <v>69.55</v>
      </c>
      <c r="I76" t="s">
        <v>13</v>
      </c>
      <c r="J76" t="s">
        <v>14</v>
      </c>
    </row>
    <row r="77" spans="1:10" x14ac:dyDescent="0.25">
      <c r="A77">
        <v>4197</v>
      </c>
      <c r="B77" t="s">
        <v>169</v>
      </c>
      <c r="C77">
        <v>23</v>
      </c>
      <c r="D77" t="s">
        <v>170</v>
      </c>
      <c r="E77" t="s">
        <v>34</v>
      </c>
      <c r="F77">
        <v>2.5299999999999998</v>
      </c>
      <c r="G77">
        <v>2028</v>
      </c>
      <c r="H77">
        <v>88.19</v>
      </c>
      <c r="I77" t="s">
        <v>13</v>
      </c>
      <c r="J77" t="s">
        <v>14</v>
      </c>
    </row>
    <row r="78" spans="1:10" x14ac:dyDescent="0.25">
      <c r="A78">
        <v>4517</v>
      </c>
      <c r="B78" t="s">
        <v>171</v>
      </c>
      <c r="C78">
        <v>25</v>
      </c>
      <c r="D78" t="s">
        <v>172</v>
      </c>
      <c r="E78" t="s">
        <v>34</v>
      </c>
      <c r="F78">
        <v>3.23</v>
      </c>
      <c r="G78">
        <v>2027</v>
      </c>
      <c r="H78">
        <v>73.98</v>
      </c>
      <c r="I78" t="s">
        <v>13</v>
      </c>
      <c r="J78" t="s">
        <v>14</v>
      </c>
    </row>
    <row r="79" spans="1:10" x14ac:dyDescent="0.25">
      <c r="A79">
        <v>6733</v>
      </c>
      <c r="B79" t="s">
        <v>173</v>
      </c>
      <c r="C79">
        <v>25</v>
      </c>
      <c r="D79" t="s">
        <v>174</v>
      </c>
      <c r="E79" t="s">
        <v>70</v>
      </c>
      <c r="F79">
        <v>2.6</v>
      </c>
      <c r="G79">
        <v>2026</v>
      </c>
      <c r="H79">
        <v>71.099999999999994</v>
      </c>
      <c r="I79" t="s">
        <v>13</v>
      </c>
      <c r="J79" t="s">
        <v>21</v>
      </c>
    </row>
    <row r="80" spans="1:10" x14ac:dyDescent="0.25">
      <c r="A80">
        <v>5406</v>
      </c>
      <c r="B80" t="s">
        <v>175</v>
      </c>
      <c r="C80">
        <v>22</v>
      </c>
      <c r="D80" t="s">
        <v>176</v>
      </c>
      <c r="E80" t="s">
        <v>34</v>
      </c>
      <c r="F80">
        <v>3.84</v>
      </c>
      <c r="G80">
        <v>2029</v>
      </c>
      <c r="H80">
        <v>99.96</v>
      </c>
      <c r="I80" t="s">
        <v>13</v>
      </c>
      <c r="J80" t="s">
        <v>21</v>
      </c>
    </row>
    <row r="81" spans="1:10" x14ac:dyDescent="0.25">
      <c r="A81">
        <v>5652</v>
      </c>
      <c r="B81" t="s">
        <v>177</v>
      </c>
      <c r="C81">
        <v>19</v>
      </c>
      <c r="D81" t="s">
        <v>178</v>
      </c>
      <c r="E81" t="s">
        <v>17</v>
      </c>
      <c r="F81">
        <v>3.35</v>
      </c>
      <c r="G81">
        <v>2030</v>
      </c>
      <c r="H81">
        <v>61.62</v>
      </c>
      <c r="I81" t="s">
        <v>13</v>
      </c>
      <c r="J81" t="s">
        <v>14</v>
      </c>
    </row>
    <row r="82" spans="1:10" x14ac:dyDescent="0.25">
      <c r="A82">
        <v>4846</v>
      </c>
      <c r="B82" t="s">
        <v>179</v>
      </c>
      <c r="C82">
        <v>20</v>
      </c>
      <c r="D82" t="s">
        <v>180</v>
      </c>
      <c r="E82" t="s">
        <v>34</v>
      </c>
      <c r="F82">
        <v>2.83</v>
      </c>
      <c r="G82">
        <v>2027</v>
      </c>
      <c r="H82">
        <v>85.83</v>
      </c>
      <c r="I82" t="s">
        <v>13</v>
      </c>
      <c r="J82" t="s">
        <v>14</v>
      </c>
    </row>
    <row r="83" spans="1:10" x14ac:dyDescent="0.25">
      <c r="A83">
        <v>9806</v>
      </c>
      <c r="B83" t="s">
        <v>181</v>
      </c>
      <c r="C83">
        <v>18</v>
      </c>
      <c r="D83" t="s">
        <v>182</v>
      </c>
      <c r="E83" t="s">
        <v>70</v>
      </c>
      <c r="F83">
        <v>2.74</v>
      </c>
      <c r="G83">
        <v>2028</v>
      </c>
      <c r="H83">
        <v>61.55</v>
      </c>
      <c r="I83" t="s">
        <v>13</v>
      </c>
      <c r="J83" t="s">
        <v>21</v>
      </c>
    </row>
    <row r="84" spans="1:10" x14ac:dyDescent="0.25">
      <c r="A84">
        <v>8526</v>
      </c>
      <c r="B84" t="s">
        <v>183</v>
      </c>
      <c r="C84">
        <v>23</v>
      </c>
      <c r="D84" t="s">
        <v>184</v>
      </c>
      <c r="E84" t="s">
        <v>12</v>
      </c>
      <c r="F84">
        <v>3.5</v>
      </c>
      <c r="G84">
        <v>2026</v>
      </c>
      <c r="H84">
        <v>90.41</v>
      </c>
      <c r="I84" t="s">
        <v>13</v>
      </c>
      <c r="J84" t="s">
        <v>14</v>
      </c>
    </row>
    <row r="85" spans="1:10" x14ac:dyDescent="0.25">
      <c r="A85">
        <v>3257</v>
      </c>
      <c r="B85" t="s">
        <v>185</v>
      </c>
      <c r="C85">
        <v>22</v>
      </c>
      <c r="D85" t="s">
        <v>186</v>
      </c>
      <c r="E85" t="s">
        <v>12</v>
      </c>
      <c r="F85">
        <v>3.67</v>
      </c>
      <c r="G85">
        <v>2027</v>
      </c>
      <c r="H85">
        <v>69.2</v>
      </c>
      <c r="I85" t="s">
        <v>13</v>
      </c>
      <c r="J85" t="s">
        <v>14</v>
      </c>
    </row>
    <row r="86" spans="1:10" x14ac:dyDescent="0.25">
      <c r="A86">
        <v>1214</v>
      </c>
      <c r="B86" t="s">
        <v>187</v>
      </c>
      <c r="C86">
        <v>24</v>
      </c>
      <c r="D86" t="s">
        <v>188</v>
      </c>
      <c r="E86" t="s">
        <v>20</v>
      </c>
      <c r="F86">
        <v>3.28</v>
      </c>
      <c r="G86">
        <v>2027</v>
      </c>
      <c r="H86">
        <v>63.59</v>
      </c>
      <c r="I86" t="s">
        <v>13</v>
      </c>
      <c r="J86" t="s">
        <v>14</v>
      </c>
    </row>
    <row r="87" spans="1:10" x14ac:dyDescent="0.25">
      <c r="A87">
        <v>2921</v>
      </c>
      <c r="B87" t="s">
        <v>189</v>
      </c>
      <c r="C87">
        <v>24</v>
      </c>
      <c r="D87" t="s">
        <v>190</v>
      </c>
      <c r="E87" t="s">
        <v>34</v>
      </c>
      <c r="F87">
        <v>3.97</v>
      </c>
      <c r="G87">
        <v>2024</v>
      </c>
      <c r="H87">
        <v>85.94</v>
      </c>
      <c r="I87" t="s">
        <v>13</v>
      </c>
      <c r="J87" t="s">
        <v>21</v>
      </c>
    </row>
    <row r="88" spans="1:10" x14ac:dyDescent="0.25">
      <c r="A88">
        <v>1853</v>
      </c>
      <c r="B88" t="s">
        <v>191</v>
      </c>
      <c r="C88">
        <v>19</v>
      </c>
      <c r="D88" t="s">
        <v>192</v>
      </c>
      <c r="E88" t="s">
        <v>70</v>
      </c>
      <c r="F88">
        <v>3.07</v>
      </c>
      <c r="G88">
        <v>2027</v>
      </c>
      <c r="H88">
        <v>89.3</v>
      </c>
      <c r="I88" t="s">
        <v>13</v>
      </c>
      <c r="J88" t="s">
        <v>14</v>
      </c>
    </row>
    <row r="89" spans="1:10" x14ac:dyDescent="0.25">
      <c r="A89">
        <v>4418</v>
      </c>
      <c r="B89" t="s">
        <v>193</v>
      </c>
      <c r="C89">
        <v>25</v>
      </c>
      <c r="D89" t="s">
        <v>194</v>
      </c>
      <c r="E89" t="s">
        <v>34</v>
      </c>
      <c r="F89">
        <v>2.14</v>
      </c>
      <c r="G89">
        <v>2028</v>
      </c>
      <c r="H89">
        <v>87.12</v>
      </c>
      <c r="I89" t="s">
        <v>13</v>
      </c>
      <c r="J89" t="s">
        <v>21</v>
      </c>
    </row>
    <row r="90" spans="1:10" x14ac:dyDescent="0.25">
      <c r="A90">
        <v>6729</v>
      </c>
      <c r="B90" t="s">
        <v>195</v>
      </c>
      <c r="C90">
        <v>18</v>
      </c>
      <c r="D90" t="s">
        <v>196</v>
      </c>
      <c r="E90" t="s">
        <v>20</v>
      </c>
      <c r="F90">
        <v>3.52</v>
      </c>
      <c r="G90">
        <v>2026</v>
      </c>
      <c r="H90">
        <v>62.08</v>
      </c>
      <c r="I90" t="s">
        <v>13</v>
      </c>
      <c r="J90" t="s">
        <v>21</v>
      </c>
    </row>
    <row r="91" spans="1:10" x14ac:dyDescent="0.25">
      <c r="A91">
        <v>4509</v>
      </c>
      <c r="B91" t="s">
        <v>197</v>
      </c>
      <c r="C91">
        <v>21</v>
      </c>
      <c r="D91" t="s">
        <v>198</v>
      </c>
      <c r="E91" t="s">
        <v>20</v>
      </c>
      <c r="F91">
        <v>3.16</v>
      </c>
      <c r="G91">
        <v>2024</v>
      </c>
      <c r="H91">
        <v>71.77</v>
      </c>
      <c r="I91" t="s">
        <v>13</v>
      </c>
      <c r="J91" t="s">
        <v>14</v>
      </c>
    </row>
    <row r="92" spans="1:10" x14ac:dyDescent="0.25">
      <c r="A92">
        <v>8646</v>
      </c>
      <c r="B92" t="s">
        <v>199</v>
      </c>
      <c r="C92">
        <v>18</v>
      </c>
      <c r="D92" t="s">
        <v>200</v>
      </c>
      <c r="E92" t="s">
        <v>12</v>
      </c>
      <c r="F92">
        <v>2.84</v>
      </c>
      <c r="G92">
        <v>2028</v>
      </c>
      <c r="H92">
        <v>78.040000000000006</v>
      </c>
      <c r="I92" t="s">
        <v>13</v>
      </c>
      <c r="J92" t="s">
        <v>14</v>
      </c>
    </row>
    <row r="93" spans="1:10" x14ac:dyDescent="0.25">
      <c r="A93">
        <v>4675</v>
      </c>
      <c r="B93" t="s">
        <v>201</v>
      </c>
      <c r="C93">
        <v>25</v>
      </c>
      <c r="D93" t="s">
        <v>202</v>
      </c>
      <c r="E93" t="s">
        <v>70</v>
      </c>
      <c r="F93">
        <v>3.86</v>
      </c>
      <c r="G93">
        <v>2025</v>
      </c>
      <c r="H93">
        <v>71.48</v>
      </c>
      <c r="I93" t="s">
        <v>13</v>
      </c>
      <c r="J93" t="s">
        <v>21</v>
      </c>
    </row>
    <row r="94" spans="1:10" x14ac:dyDescent="0.25">
      <c r="A94">
        <v>9291</v>
      </c>
      <c r="B94" t="s">
        <v>203</v>
      </c>
      <c r="C94">
        <v>23</v>
      </c>
      <c r="D94" t="s">
        <v>204</v>
      </c>
      <c r="E94" t="s">
        <v>17</v>
      </c>
      <c r="F94">
        <v>2.2999999999999998</v>
      </c>
      <c r="G94">
        <v>2028</v>
      </c>
      <c r="H94">
        <v>92.42</v>
      </c>
      <c r="I94" t="s">
        <v>13</v>
      </c>
      <c r="J94" t="s">
        <v>14</v>
      </c>
    </row>
    <row r="95" spans="1:10" x14ac:dyDescent="0.25">
      <c r="A95">
        <v>8808</v>
      </c>
      <c r="B95" t="s">
        <v>205</v>
      </c>
      <c r="C95">
        <v>20</v>
      </c>
      <c r="D95" t="s">
        <v>206</v>
      </c>
      <c r="E95" t="s">
        <v>20</v>
      </c>
      <c r="F95">
        <v>2.7</v>
      </c>
      <c r="G95">
        <v>2030</v>
      </c>
      <c r="H95">
        <v>65.239999999999995</v>
      </c>
      <c r="I95" t="s">
        <v>13</v>
      </c>
      <c r="J95" t="s">
        <v>21</v>
      </c>
    </row>
    <row r="96" spans="1:10" x14ac:dyDescent="0.25">
      <c r="A96">
        <v>5441</v>
      </c>
      <c r="B96" t="s">
        <v>207</v>
      </c>
      <c r="C96">
        <v>25</v>
      </c>
      <c r="D96" t="s">
        <v>208</v>
      </c>
      <c r="E96" t="s">
        <v>12</v>
      </c>
      <c r="F96">
        <v>3.77</v>
      </c>
      <c r="G96">
        <v>2030</v>
      </c>
      <c r="H96">
        <v>84.49</v>
      </c>
      <c r="I96" t="s">
        <v>13</v>
      </c>
      <c r="J96" t="s">
        <v>14</v>
      </c>
    </row>
    <row r="97" spans="1:10" x14ac:dyDescent="0.25">
      <c r="A97">
        <v>6001</v>
      </c>
      <c r="B97" t="s">
        <v>209</v>
      </c>
      <c r="C97">
        <v>22</v>
      </c>
      <c r="D97" t="s">
        <v>210</v>
      </c>
      <c r="E97" t="s">
        <v>17</v>
      </c>
      <c r="F97">
        <v>3.39</v>
      </c>
      <c r="G97">
        <v>2024</v>
      </c>
      <c r="H97">
        <v>99.53</v>
      </c>
      <c r="I97" t="s">
        <v>13</v>
      </c>
      <c r="J97" t="s">
        <v>14</v>
      </c>
    </row>
    <row r="98" spans="1:10" x14ac:dyDescent="0.25">
      <c r="A98">
        <v>5630</v>
      </c>
      <c r="B98" t="s">
        <v>211</v>
      </c>
      <c r="C98">
        <v>21</v>
      </c>
      <c r="D98" t="s">
        <v>212</v>
      </c>
      <c r="E98" t="s">
        <v>17</v>
      </c>
      <c r="F98">
        <v>3.2</v>
      </c>
      <c r="G98">
        <v>2024</v>
      </c>
      <c r="H98">
        <v>96.1</v>
      </c>
      <c r="I98" t="s">
        <v>55</v>
      </c>
      <c r="J98" t="s">
        <v>14</v>
      </c>
    </row>
    <row r="99" spans="1:10" x14ac:dyDescent="0.25">
      <c r="A99">
        <v>4311</v>
      </c>
      <c r="B99" t="s">
        <v>213</v>
      </c>
      <c r="C99">
        <v>21</v>
      </c>
      <c r="D99" t="s">
        <v>214</v>
      </c>
      <c r="E99" t="s">
        <v>70</v>
      </c>
      <c r="F99">
        <v>3.95</v>
      </c>
      <c r="G99">
        <v>2024</v>
      </c>
      <c r="H99">
        <v>68.89</v>
      </c>
      <c r="I99" t="s">
        <v>13</v>
      </c>
      <c r="J99" t="s">
        <v>14</v>
      </c>
    </row>
    <row r="100" spans="1:10" x14ac:dyDescent="0.25">
      <c r="A100">
        <v>6577</v>
      </c>
      <c r="B100" t="s">
        <v>215</v>
      </c>
      <c r="C100">
        <v>20</v>
      </c>
      <c r="D100" t="s">
        <v>216</v>
      </c>
      <c r="E100" t="s">
        <v>20</v>
      </c>
      <c r="F100">
        <v>2.11</v>
      </c>
      <c r="G100">
        <v>2027</v>
      </c>
      <c r="H100">
        <v>60</v>
      </c>
      <c r="I100" t="s">
        <v>13</v>
      </c>
      <c r="J100" t="s">
        <v>14</v>
      </c>
    </row>
    <row r="101" spans="1:10" x14ac:dyDescent="0.25">
      <c r="A101">
        <v>6809</v>
      </c>
      <c r="B101" t="s">
        <v>217</v>
      </c>
      <c r="C101">
        <v>23</v>
      </c>
      <c r="D101" t="s">
        <v>218</v>
      </c>
      <c r="E101" t="s">
        <v>70</v>
      </c>
      <c r="F101">
        <v>2.76</v>
      </c>
      <c r="G101">
        <v>2024</v>
      </c>
      <c r="H101">
        <v>99.22</v>
      </c>
      <c r="I101" t="s">
        <v>13</v>
      </c>
      <c r="J101" t="s">
        <v>21</v>
      </c>
    </row>
    <row r="102" spans="1:10" x14ac:dyDescent="0.25">
      <c r="A102">
        <v>2318</v>
      </c>
      <c r="B102" t="s">
        <v>219</v>
      </c>
      <c r="C102">
        <v>25</v>
      </c>
      <c r="D102" t="s">
        <v>220</v>
      </c>
      <c r="E102" t="s">
        <v>12</v>
      </c>
      <c r="F102">
        <v>3</v>
      </c>
      <c r="G102">
        <v>2030</v>
      </c>
      <c r="H102">
        <v>95.31</v>
      </c>
      <c r="I102" t="s">
        <v>13</v>
      </c>
      <c r="J102" t="s">
        <v>21</v>
      </c>
    </row>
    <row r="103" spans="1:10" x14ac:dyDescent="0.25">
      <c r="A103">
        <v>4948</v>
      </c>
      <c r="B103" t="s">
        <v>221</v>
      </c>
      <c r="C103">
        <v>22</v>
      </c>
      <c r="D103" t="s">
        <v>222</v>
      </c>
      <c r="E103" t="s">
        <v>17</v>
      </c>
      <c r="F103">
        <v>2.85</v>
      </c>
      <c r="G103">
        <v>2024</v>
      </c>
      <c r="H103">
        <v>96.78</v>
      </c>
      <c r="I103" t="s">
        <v>13</v>
      </c>
      <c r="J103" t="s">
        <v>14</v>
      </c>
    </row>
    <row r="104" spans="1:10" x14ac:dyDescent="0.25">
      <c r="A104">
        <v>7574</v>
      </c>
      <c r="B104" t="s">
        <v>223</v>
      </c>
      <c r="C104">
        <v>24</v>
      </c>
      <c r="D104" t="s">
        <v>224</v>
      </c>
      <c r="E104" t="s">
        <v>20</v>
      </c>
      <c r="F104">
        <v>3.97</v>
      </c>
      <c r="G104">
        <v>2030</v>
      </c>
      <c r="H104">
        <v>76.62</v>
      </c>
      <c r="I104" t="s">
        <v>13</v>
      </c>
      <c r="J104" t="s">
        <v>14</v>
      </c>
    </row>
    <row r="105" spans="1:10" x14ac:dyDescent="0.25">
      <c r="A105">
        <v>8155</v>
      </c>
      <c r="B105" t="s">
        <v>225</v>
      </c>
      <c r="C105">
        <v>23</v>
      </c>
      <c r="D105" t="s">
        <v>226</v>
      </c>
      <c r="E105" t="s">
        <v>34</v>
      </c>
      <c r="F105">
        <v>3.52</v>
      </c>
      <c r="G105">
        <v>2028</v>
      </c>
      <c r="H105">
        <v>89.78</v>
      </c>
      <c r="I105" t="s">
        <v>13</v>
      </c>
      <c r="J105" t="s">
        <v>14</v>
      </c>
    </row>
    <row r="106" spans="1:10" x14ac:dyDescent="0.25">
      <c r="A106">
        <v>5776</v>
      </c>
      <c r="B106" t="s">
        <v>227</v>
      </c>
      <c r="C106">
        <v>20</v>
      </c>
      <c r="D106" t="s">
        <v>228</v>
      </c>
      <c r="E106" t="s">
        <v>20</v>
      </c>
      <c r="F106">
        <v>3.37</v>
      </c>
      <c r="G106">
        <v>2030</v>
      </c>
      <c r="H106">
        <v>68.510000000000005</v>
      </c>
      <c r="I106" t="s">
        <v>13</v>
      </c>
      <c r="J106" t="s">
        <v>14</v>
      </c>
    </row>
    <row r="107" spans="1:10" x14ac:dyDescent="0.25">
      <c r="A107">
        <v>1857</v>
      </c>
      <c r="B107" t="s">
        <v>229</v>
      </c>
      <c r="C107">
        <v>25</v>
      </c>
      <c r="D107" t="s">
        <v>230</v>
      </c>
      <c r="E107" t="s">
        <v>34</v>
      </c>
      <c r="F107">
        <v>3.41</v>
      </c>
      <c r="G107">
        <v>2025</v>
      </c>
      <c r="H107">
        <v>75.69</v>
      </c>
      <c r="I107" t="s">
        <v>13</v>
      </c>
      <c r="J107" t="s">
        <v>14</v>
      </c>
    </row>
    <row r="108" spans="1:10" x14ac:dyDescent="0.25">
      <c r="A108">
        <v>1742</v>
      </c>
      <c r="B108" t="s">
        <v>231</v>
      </c>
      <c r="C108">
        <v>20</v>
      </c>
      <c r="D108" t="s">
        <v>232</v>
      </c>
      <c r="E108" t="s">
        <v>70</v>
      </c>
      <c r="F108">
        <v>2.86</v>
      </c>
      <c r="G108">
        <v>2030</v>
      </c>
      <c r="H108">
        <v>94.06</v>
      </c>
      <c r="I108" t="s">
        <v>13</v>
      </c>
      <c r="J108" t="s">
        <v>14</v>
      </c>
    </row>
    <row r="109" spans="1:10" x14ac:dyDescent="0.25">
      <c r="A109">
        <v>4406</v>
      </c>
      <c r="B109" t="s">
        <v>233</v>
      </c>
      <c r="C109">
        <v>21</v>
      </c>
      <c r="D109" t="s">
        <v>234</v>
      </c>
      <c r="E109" t="s">
        <v>20</v>
      </c>
      <c r="F109">
        <v>3.86</v>
      </c>
      <c r="G109">
        <v>2030</v>
      </c>
      <c r="H109">
        <v>65.099999999999994</v>
      </c>
      <c r="I109" t="s">
        <v>13</v>
      </c>
      <c r="J109" t="s">
        <v>14</v>
      </c>
    </row>
    <row r="110" spans="1:10" x14ac:dyDescent="0.25">
      <c r="A110">
        <v>2800</v>
      </c>
      <c r="B110" t="s">
        <v>235</v>
      </c>
      <c r="C110">
        <v>19</v>
      </c>
      <c r="D110" t="s">
        <v>236</v>
      </c>
      <c r="E110" t="s">
        <v>34</v>
      </c>
      <c r="F110">
        <v>2.99</v>
      </c>
      <c r="G110">
        <v>2029</v>
      </c>
      <c r="H110">
        <v>95.75</v>
      </c>
      <c r="I110" t="s">
        <v>13</v>
      </c>
      <c r="J110" t="s">
        <v>21</v>
      </c>
    </row>
    <row r="111" spans="1:10" x14ac:dyDescent="0.25">
      <c r="A111">
        <v>1666</v>
      </c>
      <c r="B111" t="s">
        <v>237</v>
      </c>
      <c r="C111">
        <v>20</v>
      </c>
      <c r="D111" t="s">
        <v>238</v>
      </c>
      <c r="E111" t="s">
        <v>34</v>
      </c>
      <c r="F111">
        <v>3.23</v>
      </c>
      <c r="G111">
        <v>2027</v>
      </c>
      <c r="H111">
        <v>79.86</v>
      </c>
      <c r="I111" t="s">
        <v>13</v>
      </c>
      <c r="J111" t="s">
        <v>14</v>
      </c>
    </row>
    <row r="112" spans="1:10" x14ac:dyDescent="0.25">
      <c r="A112">
        <v>1328</v>
      </c>
      <c r="B112" t="s">
        <v>239</v>
      </c>
      <c r="C112">
        <v>21</v>
      </c>
      <c r="D112" t="s">
        <v>240</v>
      </c>
      <c r="E112" t="s">
        <v>70</v>
      </c>
      <c r="F112">
        <v>2.5099999999999998</v>
      </c>
      <c r="G112">
        <v>2030</v>
      </c>
      <c r="H112">
        <v>77.040000000000006</v>
      </c>
      <c r="I112" t="s">
        <v>13</v>
      </c>
      <c r="J112" t="s">
        <v>21</v>
      </c>
    </row>
    <row r="113" spans="1:10" x14ac:dyDescent="0.25">
      <c r="A113">
        <v>7728</v>
      </c>
      <c r="B113" t="s">
        <v>241</v>
      </c>
      <c r="C113">
        <v>24</v>
      </c>
      <c r="D113" t="s">
        <v>242</v>
      </c>
      <c r="E113" t="s">
        <v>34</v>
      </c>
      <c r="F113">
        <v>2.38</v>
      </c>
      <c r="G113">
        <v>2025</v>
      </c>
      <c r="H113">
        <v>72.23</v>
      </c>
      <c r="I113" t="s">
        <v>13</v>
      </c>
      <c r="J113" t="s">
        <v>14</v>
      </c>
    </row>
    <row r="114" spans="1:10" x14ac:dyDescent="0.25">
      <c r="A114">
        <v>6489</v>
      </c>
      <c r="B114" t="s">
        <v>243</v>
      </c>
      <c r="C114">
        <v>24</v>
      </c>
      <c r="D114" t="s">
        <v>244</v>
      </c>
      <c r="E114" t="s">
        <v>17</v>
      </c>
      <c r="F114">
        <v>3.25</v>
      </c>
      <c r="G114">
        <v>2027</v>
      </c>
      <c r="H114">
        <v>96.67</v>
      </c>
      <c r="I114" t="s">
        <v>13</v>
      </c>
      <c r="J114" t="s">
        <v>14</v>
      </c>
    </row>
    <row r="115" spans="1:10" x14ac:dyDescent="0.25">
      <c r="A115">
        <v>9047</v>
      </c>
      <c r="B115" t="s">
        <v>245</v>
      </c>
      <c r="C115">
        <v>23</v>
      </c>
      <c r="D115" t="s">
        <v>246</v>
      </c>
      <c r="E115" t="s">
        <v>17</v>
      </c>
      <c r="F115">
        <v>2.14</v>
      </c>
      <c r="G115">
        <v>2025</v>
      </c>
      <c r="H115">
        <v>80.7</v>
      </c>
      <c r="I115" t="s">
        <v>13</v>
      </c>
      <c r="J115" t="s">
        <v>14</v>
      </c>
    </row>
    <row r="116" spans="1:10" x14ac:dyDescent="0.25">
      <c r="A116">
        <v>5788</v>
      </c>
      <c r="B116" t="s">
        <v>247</v>
      </c>
      <c r="C116">
        <v>18</v>
      </c>
      <c r="D116" t="s">
        <v>248</v>
      </c>
      <c r="E116" t="s">
        <v>70</v>
      </c>
      <c r="F116">
        <v>3.75</v>
      </c>
      <c r="G116">
        <v>2025</v>
      </c>
      <c r="H116">
        <v>92.16</v>
      </c>
      <c r="I116" t="s">
        <v>13</v>
      </c>
      <c r="J116" t="s">
        <v>14</v>
      </c>
    </row>
    <row r="117" spans="1:10" x14ac:dyDescent="0.25">
      <c r="A117">
        <v>8426</v>
      </c>
      <c r="B117" t="s">
        <v>249</v>
      </c>
      <c r="C117">
        <v>25</v>
      </c>
      <c r="D117" t="s">
        <v>250</v>
      </c>
      <c r="E117" t="s">
        <v>20</v>
      </c>
      <c r="F117">
        <v>2.2000000000000002</v>
      </c>
      <c r="G117">
        <v>2027</v>
      </c>
      <c r="H117">
        <v>94.31</v>
      </c>
      <c r="I117" t="s">
        <v>13</v>
      </c>
      <c r="J117" t="s">
        <v>14</v>
      </c>
    </row>
    <row r="118" spans="1:10" x14ac:dyDescent="0.25">
      <c r="A118">
        <v>8366</v>
      </c>
      <c r="B118" t="s">
        <v>251</v>
      </c>
      <c r="C118">
        <v>20</v>
      </c>
      <c r="D118" t="s">
        <v>252</v>
      </c>
      <c r="E118" t="s">
        <v>70</v>
      </c>
      <c r="F118">
        <v>2.77</v>
      </c>
      <c r="G118">
        <v>2030</v>
      </c>
      <c r="H118">
        <v>96.9</v>
      </c>
      <c r="I118" t="s">
        <v>13</v>
      </c>
      <c r="J118" t="s">
        <v>21</v>
      </c>
    </row>
    <row r="119" spans="1:10" x14ac:dyDescent="0.25">
      <c r="A119">
        <v>2963</v>
      </c>
      <c r="B119" t="s">
        <v>253</v>
      </c>
      <c r="C119">
        <v>21</v>
      </c>
      <c r="D119" t="s">
        <v>254</v>
      </c>
      <c r="E119" t="s">
        <v>70</v>
      </c>
      <c r="F119">
        <v>2.99</v>
      </c>
      <c r="G119">
        <v>2027</v>
      </c>
      <c r="H119">
        <v>72.14</v>
      </c>
      <c r="I119" t="s">
        <v>13</v>
      </c>
      <c r="J119" t="s">
        <v>14</v>
      </c>
    </row>
    <row r="120" spans="1:10" x14ac:dyDescent="0.25">
      <c r="A120">
        <v>3669</v>
      </c>
      <c r="B120" t="s">
        <v>255</v>
      </c>
      <c r="C120">
        <v>23</v>
      </c>
      <c r="D120" t="s">
        <v>256</v>
      </c>
      <c r="E120" t="s">
        <v>34</v>
      </c>
      <c r="F120">
        <v>2.48</v>
      </c>
      <c r="G120">
        <v>2025</v>
      </c>
      <c r="H120">
        <v>73.59</v>
      </c>
      <c r="I120" t="s">
        <v>13</v>
      </c>
      <c r="J120" t="s">
        <v>14</v>
      </c>
    </row>
    <row r="121" spans="1:10" x14ac:dyDescent="0.25">
      <c r="A121">
        <v>4925</v>
      </c>
      <c r="B121" t="s">
        <v>257</v>
      </c>
      <c r="C121">
        <v>20</v>
      </c>
      <c r="D121" t="s">
        <v>258</v>
      </c>
      <c r="E121" t="s">
        <v>34</v>
      </c>
      <c r="F121">
        <v>3.63</v>
      </c>
      <c r="G121">
        <v>2027</v>
      </c>
      <c r="H121">
        <v>83.8</v>
      </c>
      <c r="I121" t="s">
        <v>13</v>
      </c>
      <c r="J121" t="s">
        <v>21</v>
      </c>
    </row>
    <row r="122" spans="1:10" x14ac:dyDescent="0.25">
      <c r="A122">
        <v>6915</v>
      </c>
      <c r="B122" t="s">
        <v>259</v>
      </c>
      <c r="C122">
        <v>23</v>
      </c>
      <c r="D122" t="s">
        <v>260</v>
      </c>
      <c r="E122" t="s">
        <v>17</v>
      </c>
      <c r="F122">
        <v>3.03</v>
      </c>
      <c r="G122">
        <v>2030</v>
      </c>
      <c r="H122">
        <v>77.650000000000006</v>
      </c>
      <c r="I122" t="s">
        <v>13</v>
      </c>
      <c r="J122" t="s">
        <v>21</v>
      </c>
    </row>
    <row r="123" spans="1:10" x14ac:dyDescent="0.25">
      <c r="A123">
        <v>4538</v>
      </c>
      <c r="B123" t="s">
        <v>261</v>
      </c>
      <c r="C123">
        <v>23</v>
      </c>
      <c r="D123" t="s">
        <v>262</v>
      </c>
      <c r="E123" t="s">
        <v>20</v>
      </c>
      <c r="F123">
        <v>3.65</v>
      </c>
      <c r="G123">
        <v>2025</v>
      </c>
      <c r="H123">
        <v>97.31</v>
      </c>
      <c r="I123" t="s">
        <v>13</v>
      </c>
      <c r="J123" t="s">
        <v>14</v>
      </c>
    </row>
    <row r="124" spans="1:10" x14ac:dyDescent="0.25">
      <c r="A124">
        <v>1663</v>
      </c>
      <c r="B124" t="s">
        <v>263</v>
      </c>
      <c r="C124">
        <v>18</v>
      </c>
      <c r="D124" t="s">
        <v>264</v>
      </c>
      <c r="E124" t="s">
        <v>20</v>
      </c>
      <c r="F124">
        <v>3.32</v>
      </c>
      <c r="G124">
        <v>2030</v>
      </c>
      <c r="H124">
        <v>75.900000000000006</v>
      </c>
      <c r="I124" t="s">
        <v>13</v>
      </c>
      <c r="J124" t="s">
        <v>21</v>
      </c>
    </row>
    <row r="125" spans="1:10" x14ac:dyDescent="0.25">
      <c r="A125">
        <v>1708</v>
      </c>
      <c r="B125" t="s">
        <v>265</v>
      </c>
      <c r="C125">
        <v>22</v>
      </c>
      <c r="D125" t="s">
        <v>266</v>
      </c>
      <c r="E125" t="s">
        <v>70</v>
      </c>
      <c r="F125">
        <v>3.37</v>
      </c>
      <c r="G125">
        <v>2027</v>
      </c>
      <c r="H125">
        <v>79.11</v>
      </c>
      <c r="I125" t="s">
        <v>13</v>
      </c>
      <c r="J125" t="s">
        <v>14</v>
      </c>
    </row>
    <row r="126" spans="1:10" x14ac:dyDescent="0.25">
      <c r="A126">
        <v>9707</v>
      </c>
      <c r="B126" t="s">
        <v>267</v>
      </c>
      <c r="C126">
        <v>25</v>
      </c>
      <c r="D126" t="s">
        <v>268</v>
      </c>
      <c r="E126" t="s">
        <v>34</v>
      </c>
      <c r="F126">
        <v>2.41</v>
      </c>
      <c r="G126">
        <v>2026</v>
      </c>
      <c r="H126">
        <v>84.69</v>
      </c>
      <c r="I126" t="s">
        <v>13</v>
      </c>
      <c r="J126" t="s">
        <v>14</v>
      </c>
    </row>
    <row r="127" spans="1:10" x14ac:dyDescent="0.25">
      <c r="A127">
        <v>4188</v>
      </c>
      <c r="B127" t="s">
        <v>269</v>
      </c>
      <c r="C127">
        <v>23</v>
      </c>
      <c r="D127" t="s">
        <v>270</v>
      </c>
      <c r="E127" t="s">
        <v>34</v>
      </c>
      <c r="F127">
        <v>3.8</v>
      </c>
      <c r="G127">
        <v>2027</v>
      </c>
      <c r="H127">
        <v>76.19</v>
      </c>
      <c r="I127" t="s">
        <v>13</v>
      </c>
      <c r="J127" t="s">
        <v>14</v>
      </c>
    </row>
    <row r="128" spans="1:10" x14ac:dyDescent="0.25">
      <c r="A128">
        <v>5902</v>
      </c>
      <c r="B128" t="s">
        <v>271</v>
      </c>
      <c r="C128">
        <v>24</v>
      </c>
      <c r="D128" t="s">
        <v>272</v>
      </c>
      <c r="E128" t="s">
        <v>17</v>
      </c>
      <c r="F128">
        <v>2.9</v>
      </c>
      <c r="G128">
        <v>2025</v>
      </c>
      <c r="H128">
        <v>99.7</v>
      </c>
      <c r="I128" t="s">
        <v>13</v>
      </c>
      <c r="J128" t="s">
        <v>14</v>
      </c>
    </row>
    <row r="129" spans="1:10" x14ac:dyDescent="0.25">
      <c r="A129">
        <v>7107</v>
      </c>
      <c r="B129" t="s">
        <v>273</v>
      </c>
      <c r="C129">
        <v>18</v>
      </c>
      <c r="D129" t="s">
        <v>274</v>
      </c>
      <c r="E129" t="s">
        <v>20</v>
      </c>
      <c r="F129">
        <v>3.44</v>
      </c>
      <c r="G129">
        <v>2025</v>
      </c>
      <c r="H129">
        <v>63.95</v>
      </c>
      <c r="I129" t="s">
        <v>13</v>
      </c>
      <c r="J129" t="s">
        <v>21</v>
      </c>
    </row>
    <row r="130" spans="1:10" x14ac:dyDescent="0.25">
      <c r="A130">
        <v>8040</v>
      </c>
      <c r="B130" t="s">
        <v>275</v>
      </c>
      <c r="C130">
        <v>20</v>
      </c>
      <c r="D130" t="s">
        <v>276</v>
      </c>
      <c r="E130" t="s">
        <v>20</v>
      </c>
      <c r="F130">
        <v>2.5099999999999998</v>
      </c>
      <c r="G130">
        <v>2029</v>
      </c>
      <c r="H130">
        <v>68.819999999999993</v>
      </c>
      <c r="I130" t="s">
        <v>13</v>
      </c>
      <c r="J130" t="s">
        <v>14</v>
      </c>
    </row>
    <row r="131" spans="1:10" x14ac:dyDescent="0.25">
      <c r="A131">
        <v>4140</v>
      </c>
      <c r="B131" t="s">
        <v>277</v>
      </c>
      <c r="C131">
        <v>21</v>
      </c>
      <c r="D131" t="s">
        <v>278</v>
      </c>
      <c r="E131" t="s">
        <v>20</v>
      </c>
      <c r="F131">
        <v>2.02</v>
      </c>
      <c r="G131">
        <v>2028</v>
      </c>
      <c r="H131">
        <v>72.91</v>
      </c>
      <c r="I131" t="s">
        <v>13</v>
      </c>
      <c r="J131" t="s">
        <v>14</v>
      </c>
    </row>
    <row r="132" spans="1:10" x14ac:dyDescent="0.25">
      <c r="A132">
        <v>3797</v>
      </c>
      <c r="B132" t="s">
        <v>279</v>
      </c>
      <c r="C132">
        <v>21</v>
      </c>
      <c r="D132" t="s">
        <v>280</v>
      </c>
      <c r="E132" t="s">
        <v>20</v>
      </c>
      <c r="F132">
        <v>3.37</v>
      </c>
      <c r="G132">
        <v>2029</v>
      </c>
      <c r="H132">
        <v>65.91</v>
      </c>
      <c r="I132" t="s">
        <v>13</v>
      </c>
      <c r="J132" t="s">
        <v>21</v>
      </c>
    </row>
    <row r="133" spans="1:10" x14ac:dyDescent="0.25">
      <c r="A133">
        <v>7752</v>
      </c>
      <c r="B133" t="s">
        <v>281</v>
      </c>
      <c r="C133">
        <v>18</v>
      </c>
      <c r="D133" t="s">
        <v>282</v>
      </c>
      <c r="E133" t="s">
        <v>20</v>
      </c>
      <c r="F133">
        <v>3.72</v>
      </c>
      <c r="G133">
        <v>2026</v>
      </c>
      <c r="H133">
        <v>71.37</v>
      </c>
      <c r="I133" t="s">
        <v>13</v>
      </c>
      <c r="J133" t="s">
        <v>14</v>
      </c>
    </row>
    <row r="134" spans="1:10" x14ac:dyDescent="0.25">
      <c r="A134">
        <v>8473</v>
      </c>
      <c r="B134" t="s">
        <v>283</v>
      </c>
      <c r="C134">
        <v>21</v>
      </c>
      <c r="D134" t="s">
        <v>284</v>
      </c>
      <c r="E134" t="s">
        <v>34</v>
      </c>
      <c r="F134">
        <v>2.04</v>
      </c>
      <c r="G134">
        <v>2024</v>
      </c>
      <c r="H134">
        <v>91.17</v>
      </c>
      <c r="I134" t="s">
        <v>13</v>
      </c>
      <c r="J134" t="s">
        <v>21</v>
      </c>
    </row>
    <row r="135" spans="1:10" x14ac:dyDescent="0.25">
      <c r="A135">
        <v>1613</v>
      </c>
      <c r="B135" t="s">
        <v>285</v>
      </c>
      <c r="C135">
        <v>22</v>
      </c>
      <c r="D135" t="s">
        <v>286</v>
      </c>
      <c r="E135" t="s">
        <v>17</v>
      </c>
      <c r="F135">
        <v>2.08</v>
      </c>
      <c r="G135">
        <v>2026</v>
      </c>
      <c r="H135">
        <v>80.92</v>
      </c>
      <c r="I135" t="s">
        <v>13</v>
      </c>
      <c r="J135" t="s">
        <v>21</v>
      </c>
    </row>
    <row r="136" spans="1:10" x14ac:dyDescent="0.25">
      <c r="A136">
        <v>8298</v>
      </c>
      <c r="B136" t="s">
        <v>287</v>
      </c>
      <c r="C136">
        <v>24</v>
      </c>
      <c r="D136" t="s">
        <v>288</v>
      </c>
      <c r="E136" t="s">
        <v>34</v>
      </c>
      <c r="F136">
        <v>2.5</v>
      </c>
      <c r="G136">
        <v>2027</v>
      </c>
      <c r="H136">
        <v>61.36</v>
      </c>
      <c r="I136" t="s">
        <v>13</v>
      </c>
      <c r="J136" t="s">
        <v>21</v>
      </c>
    </row>
    <row r="137" spans="1:10" x14ac:dyDescent="0.25">
      <c r="A137">
        <v>6502</v>
      </c>
      <c r="B137" t="s">
        <v>289</v>
      </c>
      <c r="C137">
        <v>22</v>
      </c>
      <c r="D137" t="s">
        <v>290</v>
      </c>
      <c r="E137" t="s">
        <v>20</v>
      </c>
      <c r="F137">
        <v>2.9</v>
      </c>
      <c r="G137">
        <v>2030</v>
      </c>
      <c r="H137">
        <v>99.3</v>
      </c>
      <c r="I137" t="s">
        <v>13</v>
      </c>
      <c r="J137" t="s">
        <v>21</v>
      </c>
    </row>
    <row r="138" spans="1:10" x14ac:dyDescent="0.25">
      <c r="A138">
        <v>7506</v>
      </c>
      <c r="B138" t="s">
        <v>291</v>
      </c>
      <c r="C138">
        <v>18</v>
      </c>
      <c r="D138" t="s">
        <v>292</v>
      </c>
      <c r="E138" t="s">
        <v>17</v>
      </c>
      <c r="F138">
        <v>3.18</v>
      </c>
      <c r="G138">
        <v>2024</v>
      </c>
      <c r="H138">
        <v>84.64</v>
      </c>
      <c r="I138" t="s">
        <v>13</v>
      </c>
      <c r="J138" t="s">
        <v>21</v>
      </c>
    </row>
    <row r="139" spans="1:10" x14ac:dyDescent="0.25">
      <c r="A139">
        <v>4633</v>
      </c>
      <c r="B139" t="s">
        <v>293</v>
      </c>
      <c r="C139">
        <v>24</v>
      </c>
      <c r="D139" t="s">
        <v>294</v>
      </c>
      <c r="E139" t="s">
        <v>34</v>
      </c>
      <c r="F139">
        <v>3.77</v>
      </c>
      <c r="G139">
        <v>2024</v>
      </c>
      <c r="H139">
        <v>62.36</v>
      </c>
      <c r="I139" t="s">
        <v>13</v>
      </c>
      <c r="J139" t="s">
        <v>21</v>
      </c>
    </row>
    <row r="140" spans="1:10" x14ac:dyDescent="0.25">
      <c r="A140">
        <v>9239</v>
      </c>
      <c r="B140" t="s">
        <v>295</v>
      </c>
      <c r="C140">
        <v>21</v>
      </c>
      <c r="D140" t="s">
        <v>296</v>
      </c>
      <c r="E140" t="s">
        <v>12</v>
      </c>
      <c r="F140">
        <v>2.02</v>
      </c>
      <c r="G140">
        <v>2026</v>
      </c>
      <c r="H140">
        <v>86.45</v>
      </c>
      <c r="I140" t="s">
        <v>13</v>
      </c>
      <c r="J140" t="s">
        <v>14</v>
      </c>
    </row>
    <row r="141" spans="1:10" x14ac:dyDescent="0.25">
      <c r="A141">
        <v>9872</v>
      </c>
      <c r="B141" t="s">
        <v>297</v>
      </c>
      <c r="C141">
        <v>25</v>
      </c>
      <c r="D141" t="s">
        <v>298</v>
      </c>
      <c r="E141" t="s">
        <v>12</v>
      </c>
      <c r="F141">
        <v>3.26</v>
      </c>
      <c r="G141">
        <v>2027</v>
      </c>
      <c r="H141">
        <v>75.13</v>
      </c>
      <c r="I141" t="s">
        <v>13</v>
      </c>
      <c r="J141" t="s">
        <v>14</v>
      </c>
    </row>
    <row r="142" spans="1:10" x14ac:dyDescent="0.25">
      <c r="A142">
        <v>6585</v>
      </c>
      <c r="B142" t="s">
        <v>299</v>
      </c>
      <c r="C142">
        <v>21</v>
      </c>
      <c r="D142" t="s">
        <v>300</v>
      </c>
      <c r="E142" t="s">
        <v>12</v>
      </c>
      <c r="F142">
        <v>2.2999999999999998</v>
      </c>
      <c r="G142">
        <v>2024</v>
      </c>
      <c r="H142">
        <v>65.430000000000007</v>
      </c>
      <c r="I142" t="s">
        <v>13</v>
      </c>
      <c r="J142" t="s">
        <v>21</v>
      </c>
    </row>
    <row r="143" spans="1:10" x14ac:dyDescent="0.25">
      <c r="A143">
        <v>1594</v>
      </c>
      <c r="B143" t="s">
        <v>301</v>
      </c>
      <c r="C143">
        <v>23</v>
      </c>
      <c r="D143" t="s">
        <v>302</v>
      </c>
      <c r="E143" t="s">
        <v>20</v>
      </c>
      <c r="F143">
        <v>3.86</v>
      </c>
      <c r="G143">
        <v>2028</v>
      </c>
      <c r="H143">
        <v>82.55</v>
      </c>
      <c r="I143" t="s">
        <v>13</v>
      </c>
      <c r="J143" t="s">
        <v>14</v>
      </c>
    </row>
    <row r="144" spans="1:10" x14ac:dyDescent="0.25">
      <c r="A144">
        <v>7265</v>
      </c>
      <c r="B144" t="s">
        <v>303</v>
      </c>
      <c r="C144">
        <v>25</v>
      </c>
      <c r="D144" t="s">
        <v>304</v>
      </c>
      <c r="E144" t="s">
        <v>17</v>
      </c>
      <c r="F144">
        <v>3.98</v>
      </c>
      <c r="G144">
        <v>2030</v>
      </c>
      <c r="H144">
        <v>89.08</v>
      </c>
      <c r="I144" t="s">
        <v>13</v>
      </c>
      <c r="J144" t="s">
        <v>14</v>
      </c>
    </row>
    <row r="145" spans="1:10" x14ac:dyDescent="0.25">
      <c r="A145">
        <v>9985</v>
      </c>
      <c r="B145" t="s">
        <v>305</v>
      </c>
      <c r="C145">
        <v>19</v>
      </c>
      <c r="D145" t="s">
        <v>306</v>
      </c>
      <c r="E145" t="s">
        <v>17</v>
      </c>
      <c r="F145">
        <v>3.07</v>
      </c>
      <c r="G145">
        <v>2030</v>
      </c>
      <c r="H145">
        <v>86.85</v>
      </c>
      <c r="I145" t="s">
        <v>13</v>
      </c>
      <c r="J145" t="s">
        <v>14</v>
      </c>
    </row>
    <row r="146" spans="1:10" x14ac:dyDescent="0.25">
      <c r="A146">
        <v>9204</v>
      </c>
      <c r="B146" t="s">
        <v>307</v>
      </c>
      <c r="C146">
        <v>22</v>
      </c>
      <c r="D146" t="s">
        <v>308</v>
      </c>
      <c r="E146" t="s">
        <v>17</v>
      </c>
      <c r="F146">
        <v>2.14</v>
      </c>
      <c r="G146">
        <v>2024</v>
      </c>
      <c r="H146">
        <v>69.900000000000006</v>
      </c>
      <c r="I146" t="s">
        <v>13</v>
      </c>
      <c r="J146" t="s">
        <v>21</v>
      </c>
    </row>
    <row r="147" spans="1:10" x14ac:dyDescent="0.25">
      <c r="A147">
        <v>1959</v>
      </c>
      <c r="B147" t="s">
        <v>309</v>
      </c>
      <c r="C147">
        <v>21</v>
      </c>
      <c r="D147" t="s">
        <v>310</v>
      </c>
      <c r="E147" t="s">
        <v>70</v>
      </c>
      <c r="F147">
        <v>3.85</v>
      </c>
      <c r="G147">
        <v>2030</v>
      </c>
      <c r="H147">
        <v>80.989999999999995</v>
      </c>
      <c r="I147" t="s">
        <v>13</v>
      </c>
      <c r="J147" t="s">
        <v>14</v>
      </c>
    </row>
    <row r="148" spans="1:10" x14ac:dyDescent="0.25">
      <c r="A148">
        <v>4036</v>
      </c>
      <c r="B148" t="s">
        <v>311</v>
      </c>
      <c r="C148">
        <v>18</v>
      </c>
      <c r="D148" t="s">
        <v>312</v>
      </c>
      <c r="E148" t="s">
        <v>34</v>
      </c>
      <c r="F148">
        <v>3.19</v>
      </c>
      <c r="G148">
        <v>2028</v>
      </c>
      <c r="H148">
        <v>81.510000000000005</v>
      </c>
      <c r="I148" t="s">
        <v>13</v>
      </c>
      <c r="J148" t="s">
        <v>14</v>
      </c>
    </row>
    <row r="149" spans="1:10" x14ac:dyDescent="0.25">
      <c r="A149">
        <v>3694</v>
      </c>
      <c r="B149" t="s">
        <v>313</v>
      </c>
      <c r="C149">
        <v>24</v>
      </c>
      <c r="D149" t="s">
        <v>314</v>
      </c>
      <c r="E149" t="s">
        <v>17</v>
      </c>
      <c r="F149">
        <v>2.0299999999999998</v>
      </c>
      <c r="G149">
        <v>2026</v>
      </c>
      <c r="H149">
        <v>88.67</v>
      </c>
      <c r="I149" t="s">
        <v>13</v>
      </c>
      <c r="J149" t="s">
        <v>14</v>
      </c>
    </row>
    <row r="150" spans="1:10" x14ac:dyDescent="0.25">
      <c r="A150">
        <v>7829</v>
      </c>
      <c r="B150" t="s">
        <v>315</v>
      </c>
      <c r="C150">
        <v>21</v>
      </c>
      <c r="D150" t="s">
        <v>316</v>
      </c>
      <c r="E150" t="s">
        <v>20</v>
      </c>
      <c r="F150">
        <v>3.64</v>
      </c>
      <c r="G150">
        <v>2029</v>
      </c>
      <c r="H150">
        <v>74.39</v>
      </c>
      <c r="I150" t="s">
        <v>13</v>
      </c>
      <c r="J150" t="s">
        <v>14</v>
      </c>
    </row>
    <row r="151" spans="1:10" x14ac:dyDescent="0.25">
      <c r="A151">
        <v>8694</v>
      </c>
      <c r="B151" t="s">
        <v>317</v>
      </c>
      <c r="C151">
        <v>19</v>
      </c>
      <c r="D151" t="s">
        <v>318</v>
      </c>
      <c r="E151" t="s">
        <v>70</v>
      </c>
      <c r="F151">
        <v>2.5499999999999998</v>
      </c>
      <c r="G151">
        <v>2029</v>
      </c>
      <c r="H151">
        <v>91.91</v>
      </c>
      <c r="I151" t="s">
        <v>13</v>
      </c>
      <c r="J151" t="s">
        <v>21</v>
      </c>
    </row>
    <row r="152" spans="1:10" x14ac:dyDescent="0.25">
      <c r="A152">
        <v>9382</v>
      </c>
      <c r="B152" t="s">
        <v>319</v>
      </c>
      <c r="C152">
        <v>22</v>
      </c>
      <c r="D152" t="s">
        <v>320</v>
      </c>
      <c r="E152" t="s">
        <v>20</v>
      </c>
      <c r="F152">
        <v>2.71</v>
      </c>
      <c r="G152">
        <v>2025</v>
      </c>
      <c r="H152">
        <v>85.12</v>
      </c>
      <c r="I152" t="s">
        <v>13</v>
      </c>
      <c r="J152" t="s">
        <v>14</v>
      </c>
    </row>
    <row r="153" spans="1:10" x14ac:dyDescent="0.25">
      <c r="A153">
        <v>1113</v>
      </c>
      <c r="B153" t="s">
        <v>321</v>
      </c>
      <c r="C153">
        <v>18</v>
      </c>
      <c r="D153" t="s">
        <v>322</v>
      </c>
      <c r="E153" t="s">
        <v>34</v>
      </c>
      <c r="F153">
        <v>2.5099999999999998</v>
      </c>
      <c r="G153">
        <v>2028</v>
      </c>
      <c r="H153">
        <v>61.53</v>
      </c>
      <c r="I153" t="s">
        <v>13</v>
      </c>
      <c r="J153" t="s">
        <v>14</v>
      </c>
    </row>
    <row r="154" spans="1:10" x14ac:dyDescent="0.25">
      <c r="A154">
        <v>7637</v>
      </c>
      <c r="B154" t="s">
        <v>323</v>
      </c>
      <c r="C154">
        <v>19</v>
      </c>
      <c r="D154" t="s">
        <v>324</v>
      </c>
      <c r="E154" t="s">
        <v>12</v>
      </c>
      <c r="F154">
        <v>3.99</v>
      </c>
      <c r="G154">
        <v>2029</v>
      </c>
      <c r="H154">
        <v>81.86</v>
      </c>
      <c r="I154" t="s">
        <v>13</v>
      </c>
      <c r="J154" t="s">
        <v>21</v>
      </c>
    </row>
    <row r="155" spans="1:10" x14ac:dyDescent="0.25">
      <c r="A155">
        <v>6344</v>
      </c>
      <c r="B155" t="s">
        <v>325</v>
      </c>
      <c r="C155">
        <v>21</v>
      </c>
      <c r="D155" t="s">
        <v>326</v>
      </c>
      <c r="E155" t="s">
        <v>20</v>
      </c>
      <c r="F155">
        <v>3.47</v>
      </c>
      <c r="G155">
        <v>2024</v>
      </c>
      <c r="H155">
        <v>94.48</v>
      </c>
      <c r="I155" t="s">
        <v>13</v>
      </c>
      <c r="J155" t="s">
        <v>14</v>
      </c>
    </row>
    <row r="156" spans="1:10" x14ac:dyDescent="0.25">
      <c r="A156">
        <v>5468</v>
      </c>
      <c r="B156" t="s">
        <v>327</v>
      </c>
      <c r="C156">
        <v>19</v>
      </c>
      <c r="D156" t="s">
        <v>328</v>
      </c>
      <c r="E156" t="s">
        <v>20</v>
      </c>
      <c r="F156">
        <v>3.78</v>
      </c>
      <c r="G156">
        <v>2025</v>
      </c>
      <c r="H156">
        <v>82.7</v>
      </c>
      <c r="I156" t="s">
        <v>13</v>
      </c>
      <c r="J156" t="s">
        <v>21</v>
      </c>
    </row>
    <row r="157" spans="1:10" x14ac:dyDescent="0.25">
      <c r="A157">
        <v>2698</v>
      </c>
      <c r="B157" t="s">
        <v>329</v>
      </c>
      <c r="C157">
        <v>18</v>
      </c>
      <c r="D157" t="s">
        <v>330</v>
      </c>
      <c r="E157" t="s">
        <v>34</v>
      </c>
      <c r="F157">
        <v>3.71</v>
      </c>
      <c r="G157">
        <v>2030</v>
      </c>
      <c r="H157">
        <v>67.03</v>
      </c>
      <c r="I157" t="s">
        <v>13</v>
      </c>
      <c r="J157" t="s">
        <v>14</v>
      </c>
    </row>
    <row r="158" spans="1:10" x14ac:dyDescent="0.25">
      <c r="A158">
        <v>7871</v>
      </c>
      <c r="B158" t="s">
        <v>331</v>
      </c>
      <c r="C158">
        <v>20</v>
      </c>
      <c r="D158" t="s">
        <v>332</v>
      </c>
      <c r="E158" t="s">
        <v>17</v>
      </c>
      <c r="F158">
        <v>2.59</v>
      </c>
      <c r="G158">
        <v>2027</v>
      </c>
      <c r="H158">
        <v>80.42</v>
      </c>
      <c r="I158" t="s">
        <v>13</v>
      </c>
      <c r="J158" t="s">
        <v>21</v>
      </c>
    </row>
    <row r="159" spans="1:10" x14ac:dyDescent="0.25">
      <c r="A159">
        <v>8556</v>
      </c>
      <c r="B159" t="s">
        <v>333</v>
      </c>
      <c r="C159">
        <v>19</v>
      </c>
      <c r="D159" t="s">
        <v>334</v>
      </c>
      <c r="E159" t="s">
        <v>17</v>
      </c>
      <c r="F159">
        <v>2.62</v>
      </c>
      <c r="G159">
        <v>2029</v>
      </c>
      <c r="H159">
        <v>90.28</v>
      </c>
      <c r="I159" t="s">
        <v>13</v>
      </c>
      <c r="J159" t="s">
        <v>21</v>
      </c>
    </row>
    <row r="160" spans="1:10" x14ac:dyDescent="0.25">
      <c r="A160">
        <v>5031</v>
      </c>
      <c r="B160" t="s">
        <v>335</v>
      </c>
      <c r="C160">
        <v>20</v>
      </c>
      <c r="D160" t="s">
        <v>336</v>
      </c>
      <c r="E160" t="s">
        <v>34</v>
      </c>
      <c r="F160">
        <v>3</v>
      </c>
      <c r="G160">
        <v>2025</v>
      </c>
      <c r="H160">
        <v>64.400000000000006</v>
      </c>
      <c r="I160" t="s">
        <v>13</v>
      </c>
      <c r="J160" t="s">
        <v>21</v>
      </c>
    </row>
    <row r="161" spans="1:10" x14ac:dyDescent="0.25">
      <c r="A161">
        <v>2575</v>
      </c>
      <c r="B161" t="s">
        <v>337</v>
      </c>
      <c r="C161">
        <v>20</v>
      </c>
      <c r="D161" t="s">
        <v>338</v>
      </c>
      <c r="E161" t="s">
        <v>20</v>
      </c>
      <c r="F161">
        <v>2.78</v>
      </c>
      <c r="G161">
        <v>2029</v>
      </c>
      <c r="H161">
        <v>92.68</v>
      </c>
      <c r="I161" t="s">
        <v>13</v>
      </c>
      <c r="J161" t="s">
        <v>14</v>
      </c>
    </row>
    <row r="162" spans="1:10" x14ac:dyDescent="0.25">
      <c r="A162">
        <v>2322</v>
      </c>
      <c r="B162" t="s">
        <v>339</v>
      </c>
      <c r="C162">
        <v>20</v>
      </c>
      <c r="D162" t="s">
        <v>340</v>
      </c>
      <c r="E162" t="s">
        <v>70</v>
      </c>
      <c r="F162">
        <v>2.4500000000000002</v>
      </c>
      <c r="G162">
        <v>2026</v>
      </c>
      <c r="H162">
        <v>66.7</v>
      </c>
      <c r="I162" t="s">
        <v>13</v>
      </c>
      <c r="J162" t="s">
        <v>14</v>
      </c>
    </row>
    <row r="163" spans="1:10" x14ac:dyDescent="0.25">
      <c r="A163">
        <v>9056</v>
      </c>
      <c r="B163" t="s">
        <v>341</v>
      </c>
      <c r="C163">
        <v>24</v>
      </c>
      <c r="D163" t="s">
        <v>342</v>
      </c>
      <c r="E163" t="s">
        <v>34</v>
      </c>
      <c r="F163">
        <v>2.58</v>
      </c>
      <c r="G163">
        <v>2025</v>
      </c>
      <c r="H163">
        <v>81.36</v>
      </c>
      <c r="I163" t="s">
        <v>13</v>
      </c>
      <c r="J163" t="s">
        <v>14</v>
      </c>
    </row>
    <row r="164" spans="1:10" x14ac:dyDescent="0.25">
      <c r="A164">
        <v>6326</v>
      </c>
      <c r="B164" t="s">
        <v>343</v>
      </c>
      <c r="C164">
        <v>21</v>
      </c>
      <c r="D164" t="s">
        <v>344</v>
      </c>
      <c r="E164" t="s">
        <v>17</v>
      </c>
      <c r="F164">
        <v>2.98</v>
      </c>
      <c r="G164">
        <v>2029</v>
      </c>
      <c r="H164">
        <v>75.430000000000007</v>
      </c>
      <c r="I164" t="s">
        <v>55</v>
      </c>
      <c r="J164" t="s">
        <v>14</v>
      </c>
    </row>
    <row r="165" spans="1:10" x14ac:dyDescent="0.25">
      <c r="A165">
        <v>8790</v>
      </c>
      <c r="B165" t="s">
        <v>345</v>
      </c>
      <c r="C165">
        <v>23</v>
      </c>
      <c r="D165" t="s">
        <v>346</v>
      </c>
      <c r="E165" t="s">
        <v>20</v>
      </c>
      <c r="F165">
        <v>3.14</v>
      </c>
      <c r="G165">
        <v>2028</v>
      </c>
      <c r="H165">
        <v>69.94</v>
      </c>
      <c r="I165" t="s">
        <v>13</v>
      </c>
      <c r="J165" t="s">
        <v>14</v>
      </c>
    </row>
    <row r="166" spans="1:10" x14ac:dyDescent="0.25">
      <c r="A166">
        <v>3873</v>
      </c>
      <c r="B166" t="s">
        <v>347</v>
      </c>
      <c r="C166">
        <v>22</v>
      </c>
      <c r="D166" t="s">
        <v>348</v>
      </c>
      <c r="E166" t="s">
        <v>34</v>
      </c>
      <c r="F166">
        <v>3.59</v>
      </c>
      <c r="G166">
        <v>2026</v>
      </c>
      <c r="H166">
        <v>85.9</v>
      </c>
      <c r="I166" t="s">
        <v>13</v>
      </c>
      <c r="J166" t="s">
        <v>14</v>
      </c>
    </row>
    <row r="167" spans="1:10" x14ac:dyDescent="0.25">
      <c r="A167">
        <v>3176</v>
      </c>
      <c r="B167" t="s">
        <v>349</v>
      </c>
      <c r="C167">
        <v>22</v>
      </c>
      <c r="D167" t="s">
        <v>350</v>
      </c>
      <c r="E167" t="s">
        <v>17</v>
      </c>
      <c r="F167">
        <v>2.2200000000000002</v>
      </c>
      <c r="G167">
        <v>2030</v>
      </c>
      <c r="H167">
        <v>61.5</v>
      </c>
      <c r="I167" t="s">
        <v>13</v>
      </c>
      <c r="J167" t="s">
        <v>21</v>
      </c>
    </row>
    <row r="168" spans="1:10" x14ac:dyDescent="0.25">
      <c r="A168">
        <v>9203</v>
      </c>
      <c r="B168" t="s">
        <v>351</v>
      </c>
      <c r="C168">
        <v>19</v>
      </c>
      <c r="D168" t="s">
        <v>352</v>
      </c>
      <c r="E168" t="s">
        <v>20</v>
      </c>
      <c r="F168">
        <v>3.12</v>
      </c>
      <c r="G168">
        <v>2027</v>
      </c>
      <c r="H168">
        <v>90.4</v>
      </c>
      <c r="I168" t="s">
        <v>13</v>
      </c>
      <c r="J168" t="s">
        <v>14</v>
      </c>
    </row>
    <row r="169" spans="1:10" x14ac:dyDescent="0.25">
      <c r="A169">
        <v>9676</v>
      </c>
      <c r="B169" t="s">
        <v>353</v>
      </c>
      <c r="C169">
        <v>24</v>
      </c>
      <c r="D169" t="s">
        <v>354</v>
      </c>
      <c r="E169" t="s">
        <v>34</v>
      </c>
      <c r="F169">
        <v>3.44</v>
      </c>
      <c r="G169">
        <v>2028</v>
      </c>
      <c r="H169">
        <v>81.08</v>
      </c>
      <c r="I169" t="s">
        <v>13</v>
      </c>
      <c r="J169" t="s">
        <v>21</v>
      </c>
    </row>
    <row r="170" spans="1:10" x14ac:dyDescent="0.25">
      <c r="A170">
        <v>2142</v>
      </c>
      <c r="B170" t="s">
        <v>355</v>
      </c>
      <c r="C170">
        <v>25</v>
      </c>
      <c r="D170" t="s">
        <v>356</v>
      </c>
      <c r="E170" t="s">
        <v>17</v>
      </c>
      <c r="F170">
        <v>2.54</v>
      </c>
      <c r="G170">
        <v>2028</v>
      </c>
      <c r="H170">
        <v>95.03</v>
      </c>
      <c r="I170" t="s">
        <v>13</v>
      </c>
      <c r="J170" t="s">
        <v>21</v>
      </c>
    </row>
    <row r="171" spans="1:10" x14ac:dyDescent="0.25">
      <c r="A171">
        <v>4138</v>
      </c>
      <c r="B171" t="s">
        <v>357</v>
      </c>
      <c r="C171">
        <v>23</v>
      </c>
      <c r="D171" t="s">
        <v>358</v>
      </c>
      <c r="E171" t="s">
        <v>70</v>
      </c>
      <c r="F171">
        <v>2.1</v>
      </c>
      <c r="G171">
        <v>2029</v>
      </c>
      <c r="H171">
        <v>80.83</v>
      </c>
      <c r="I171" t="s">
        <v>13</v>
      </c>
      <c r="J171" t="s">
        <v>21</v>
      </c>
    </row>
    <row r="172" spans="1:10" x14ac:dyDescent="0.25">
      <c r="A172">
        <v>8314</v>
      </c>
      <c r="B172" t="s">
        <v>359</v>
      </c>
      <c r="C172">
        <v>25</v>
      </c>
      <c r="D172" t="s">
        <v>360</v>
      </c>
      <c r="E172" t="s">
        <v>70</v>
      </c>
      <c r="F172">
        <v>3.98</v>
      </c>
      <c r="G172">
        <v>2027</v>
      </c>
      <c r="H172">
        <v>61.4</v>
      </c>
      <c r="I172" t="s">
        <v>13</v>
      </c>
      <c r="J172" t="s">
        <v>21</v>
      </c>
    </row>
    <row r="173" spans="1:10" x14ac:dyDescent="0.25">
      <c r="A173">
        <v>9826</v>
      </c>
      <c r="B173" t="s">
        <v>361</v>
      </c>
      <c r="C173">
        <v>19</v>
      </c>
      <c r="D173" t="s">
        <v>362</v>
      </c>
      <c r="E173" t="s">
        <v>34</v>
      </c>
      <c r="F173">
        <v>3.71</v>
      </c>
      <c r="G173">
        <v>2026</v>
      </c>
      <c r="H173">
        <v>65.739999999999995</v>
      </c>
      <c r="I173" t="s">
        <v>13</v>
      </c>
      <c r="J173" t="s">
        <v>21</v>
      </c>
    </row>
    <row r="174" spans="1:10" x14ac:dyDescent="0.25">
      <c r="A174">
        <v>5149</v>
      </c>
      <c r="B174" t="s">
        <v>363</v>
      </c>
      <c r="C174">
        <v>25</v>
      </c>
      <c r="D174" t="s">
        <v>364</v>
      </c>
      <c r="E174" t="s">
        <v>70</v>
      </c>
      <c r="F174">
        <v>2.98</v>
      </c>
      <c r="G174">
        <v>2029</v>
      </c>
      <c r="H174">
        <v>91.82</v>
      </c>
      <c r="I174" t="s">
        <v>13</v>
      </c>
      <c r="J174" t="s">
        <v>14</v>
      </c>
    </row>
    <row r="175" spans="1:10" x14ac:dyDescent="0.25">
      <c r="A175">
        <v>9098</v>
      </c>
      <c r="B175" t="s">
        <v>365</v>
      </c>
      <c r="C175">
        <v>25</v>
      </c>
      <c r="D175" t="s">
        <v>366</v>
      </c>
      <c r="E175" t="s">
        <v>20</v>
      </c>
      <c r="F175">
        <v>2.0099999999999998</v>
      </c>
      <c r="G175">
        <v>2030</v>
      </c>
      <c r="H175">
        <v>79.680000000000007</v>
      </c>
      <c r="I175" t="s">
        <v>13</v>
      </c>
      <c r="J175" t="s">
        <v>21</v>
      </c>
    </row>
    <row r="176" spans="1:10" x14ac:dyDescent="0.25">
      <c r="A176">
        <v>2991</v>
      </c>
      <c r="B176" t="s">
        <v>367</v>
      </c>
      <c r="C176">
        <v>25</v>
      </c>
      <c r="D176" t="s">
        <v>368</v>
      </c>
      <c r="E176" t="s">
        <v>20</v>
      </c>
      <c r="F176">
        <v>2.09</v>
      </c>
      <c r="G176">
        <v>2027</v>
      </c>
      <c r="H176">
        <v>77.680000000000007</v>
      </c>
      <c r="I176" t="s">
        <v>13</v>
      </c>
      <c r="J176" t="s">
        <v>14</v>
      </c>
    </row>
    <row r="177" spans="1:10" x14ac:dyDescent="0.25">
      <c r="A177">
        <v>6780</v>
      </c>
      <c r="B177" t="s">
        <v>369</v>
      </c>
      <c r="C177">
        <v>22</v>
      </c>
      <c r="D177" t="s">
        <v>370</v>
      </c>
      <c r="E177" t="s">
        <v>20</v>
      </c>
      <c r="F177">
        <v>3.11</v>
      </c>
      <c r="G177">
        <v>2025</v>
      </c>
      <c r="H177">
        <v>72.739999999999995</v>
      </c>
      <c r="I177" t="s">
        <v>13</v>
      </c>
      <c r="J177" t="s">
        <v>21</v>
      </c>
    </row>
    <row r="178" spans="1:10" x14ac:dyDescent="0.25">
      <c r="A178">
        <v>1363</v>
      </c>
      <c r="B178" t="s">
        <v>371</v>
      </c>
      <c r="C178">
        <v>19</v>
      </c>
      <c r="D178" t="s">
        <v>372</v>
      </c>
      <c r="E178" t="s">
        <v>34</v>
      </c>
      <c r="F178">
        <v>2</v>
      </c>
      <c r="G178">
        <v>2027</v>
      </c>
      <c r="H178">
        <v>71.38</v>
      </c>
      <c r="I178" t="s">
        <v>13</v>
      </c>
      <c r="J178" t="s">
        <v>14</v>
      </c>
    </row>
    <row r="179" spans="1:10" x14ac:dyDescent="0.25">
      <c r="A179">
        <v>6589</v>
      </c>
      <c r="B179" t="s">
        <v>373</v>
      </c>
      <c r="C179">
        <v>22</v>
      </c>
      <c r="D179" t="s">
        <v>374</v>
      </c>
      <c r="E179" t="s">
        <v>34</v>
      </c>
      <c r="F179">
        <v>3.9</v>
      </c>
      <c r="G179">
        <v>2028</v>
      </c>
      <c r="H179">
        <v>98.64</v>
      </c>
      <c r="I179" t="s">
        <v>13</v>
      </c>
      <c r="J179" t="s">
        <v>14</v>
      </c>
    </row>
    <row r="180" spans="1:10" x14ac:dyDescent="0.25">
      <c r="A180">
        <v>9377</v>
      </c>
      <c r="B180" t="s">
        <v>375</v>
      </c>
      <c r="C180">
        <v>24</v>
      </c>
      <c r="D180" t="s">
        <v>376</v>
      </c>
      <c r="E180" t="s">
        <v>12</v>
      </c>
      <c r="F180">
        <v>2.63</v>
      </c>
      <c r="G180">
        <v>2029</v>
      </c>
      <c r="H180">
        <v>77.319999999999993</v>
      </c>
      <c r="I180" t="s">
        <v>13</v>
      </c>
      <c r="J180" t="s">
        <v>14</v>
      </c>
    </row>
    <row r="181" spans="1:10" x14ac:dyDescent="0.25">
      <c r="A181">
        <v>2982</v>
      </c>
      <c r="B181" t="s">
        <v>377</v>
      </c>
      <c r="C181">
        <v>18</v>
      </c>
      <c r="D181" t="s">
        <v>378</v>
      </c>
      <c r="E181" t="s">
        <v>70</v>
      </c>
      <c r="F181">
        <v>2.61</v>
      </c>
      <c r="G181">
        <v>2028</v>
      </c>
      <c r="H181">
        <v>95.36</v>
      </c>
      <c r="I181" t="s">
        <v>13</v>
      </c>
      <c r="J181" t="s">
        <v>21</v>
      </c>
    </row>
    <row r="182" spans="1:10" x14ac:dyDescent="0.25">
      <c r="A182">
        <v>7186</v>
      </c>
      <c r="B182" t="s">
        <v>379</v>
      </c>
      <c r="C182">
        <v>22</v>
      </c>
      <c r="D182" t="s">
        <v>380</v>
      </c>
      <c r="E182" t="s">
        <v>20</v>
      </c>
      <c r="F182">
        <v>2.04</v>
      </c>
      <c r="G182">
        <v>2026</v>
      </c>
      <c r="H182">
        <v>85.93</v>
      </c>
      <c r="I182" t="s">
        <v>13</v>
      </c>
      <c r="J182" t="s">
        <v>14</v>
      </c>
    </row>
    <row r="183" spans="1:10" x14ac:dyDescent="0.25">
      <c r="A183">
        <v>4265</v>
      </c>
      <c r="B183" t="s">
        <v>381</v>
      </c>
      <c r="C183">
        <v>21</v>
      </c>
      <c r="D183" t="s">
        <v>382</v>
      </c>
      <c r="E183" t="s">
        <v>12</v>
      </c>
      <c r="F183">
        <v>3.27</v>
      </c>
      <c r="G183">
        <v>2026</v>
      </c>
      <c r="H183">
        <v>94.34</v>
      </c>
      <c r="I183" t="s">
        <v>13</v>
      </c>
      <c r="J183" t="s">
        <v>14</v>
      </c>
    </row>
    <row r="184" spans="1:10" x14ac:dyDescent="0.25">
      <c r="A184">
        <v>9696</v>
      </c>
      <c r="B184" t="s">
        <v>383</v>
      </c>
      <c r="C184">
        <v>24</v>
      </c>
      <c r="D184" t="s">
        <v>384</v>
      </c>
      <c r="E184" t="s">
        <v>17</v>
      </c>
      <c r="F184">
        <v>3.27</v>
      </c>
      <c r="G184">
        <v>2029</v>
      </c>
      <c r="H184">
        <v>94.1</v>
      </c>
      <c r="I184" t="s">
        <v>13</v>
      </c>
      <c r="J184" t="s">
        <v>21</v>
      </c>
    </row>
    <row r="185" spans="1:10" x14ac:dyDescent="0.25">
      <c r="A185">
        <v>8291</v>
      </c>
      <c r="B185" t="s">
        <v>385</v>
      </c>
      <c r="C185">
        <v>24</v>
      </c>
      <c r="D185" t="s">
        <v>386</v>
      </c>
      <c r="E185" t="s">
        <v>12</v>
      </c>
      <c r="F185">
        <v>3.41</v>
      </c>
      <c r="G185">
        <v>2029</v>
      </c>
      <c r="H185">
        <v>98.25</v>
      </c>
      <c r="I185" t="s">
        <v>13</v>
      </c>
      <c r="J185" t="s">
        <v>21</v>
      </c>
    </row>
    <row r="186" spans="1:10" x14ac:dyDescent="0.25">
      <c r="A186">
        <v>5094</v>
      </c>
      <c r="B186" t="s">
        <v>387</v>
      </c>
      <c r="C186">
        <v>24</v>
      </c>
      <c r="D186" t="s">
        <v>388</v>
      </c>
      <c r="E186" t="s">
        <v>34</v>
      </c>
      <c r="F186">
        <v>2.08</v>
      </c>
      <c r="G186">
        <v>2030</v>
      </c>
      <c r="H186">
        <v>87.92</v>
      </c>
      <c r="I186" t="s">
        <v>13</v>
      </c>
      <c r="J186" t="s">
        <v>14</v>
      </c>
    </row>
    <row r="187" spans="1:10" x14ac:dyDescent="0.25">
      <c r="A187">
        <v>7933</v>
      </c>
      <c r="B187" t="s">
        <v>389</v>
      </c>
      <c r="C187">
        <v>23</v>
      </c>
      <c r="D187" t="s">
        <v>390</v>
      </c>
      <c r="E187" t="s">
        <v>20</v>
      </c>
      <c r="F187">
        <v>3.96</v>
      </c>
      <c r="G187">
        <v>2026</v>
      </c>
      <c r="H187">
        <v>92.22</v>
      </c>
      <c r="I187" t="s">
        <v>13</v>
      </c>
      <c r="J187" t="s">
        <v>21</v>
      </c>
    </row>
    <row r="188" spans="1:10" x14ac:dyDescent="0.25">
      <c r="A188">
        <v>2962</v>
      </c>
      <c r="B188" t="s">
        <v>391</v>
      </c>
      <c r="C188">
        <v>24</v>
      </c>
      <c r="D188" t="s">
        <v>392</v>
      </c>
      <c r="E188" t="s">
        <v>20</v>
      </c>
      <c r="F188">
        <v>3.42</v>
      </c>
      <c r="G188">
        <v>2026</v>
      </c>
      <c r="H188">
        <v>89.33</v>
      </c>
      <c r="I188" t="s">
        <v>13</v>
      </c>
      <c r="J188" t="s">
        <v>21</v>
      </c>
    </row>
    <row r="189" spans="1:10" x14ac:dyDescent="0.25">
      <c r="A189">
        <v>7780</v>
      </c>
      <c r="B189" t="s">
        <v>393</v>
      </c>
      <c r="C189">
        <v>21</v>
      </c>
      <c r="D189" t="s">
        <v>394</v>
      </c>
      <c r="E189" t="s">
        <v>12</v>
      </c>
      <c r="F189">
        <v>2.5099999999999998</v>
      </c>
      <c r="G189">
        <v>2030</v>
      </c>
      <c r="H189">
        <v>84.21</v>
      </c>
      <c r="I189" t="s">
        <v>13</v>
      </c>
      <c r="J189" t="s">
        <v>14</v>
      </c>
    </row>
    <row r="190" spans="1:10" x14ac:dyDescent="0.25">
      <c r="A190">
        <v>8082</v>
      </c>
      <c r="B190" t="s">
        <v>395</v>
      </c>
      <c r="C190">
        <v>21</v>
      </c>
      <c r="D190" t="s">
        <v>396</v>
      </c>
      <c r="E190" t="s">
        <v>17</v>
      </c>
      <c r="F190">
        <v>2.14</v>
      </c>
      <c r="G190">
        <v>2026</v>
      </c>
      <c r="H190">
        <v>88.69</v>
      </c>
      <c r="I190" t="s">
        <v>13</v>
      </c>
      <c r="J190" t="s">
        <v>14</v>
      </c>
    </row>
    <row r="191" spans="1:10" x14ac:dyDescent="0.25">
      <c r="A191">
        <v>7240</v>
      </c>
      <c r="B191" t="s">
        <v>397</v>
      </c>
      <c r="C191">
        <v>22</v>
      </c>
      <c r="D191" t="s">
        <v>398</v>
      </c>
      <c r="E191" t="s">
        <v>70</v>
      </c>
      <c r="F191">
        <v>2.34</v>
      </c>
      <c r="G191">
        <v>2029</v>
      </c>
      <c r="H191">
        <v>88.63</v>
      </c>
      <c r="I191" t="s">
        <v>13</v>
      </c>
      <c r="J191" t="s">
        <v>14</v>
      </c>
    </row>
    <row r="192" spans="1:10" x14ac:dyDescent="0.25">
      <c r="A192">
        <v>3033</v>
      </c>
      <c r="B192" t="s">
        <v>399</v>
      </c>
      <c r="C192">
        <v>21</v>
      </c>
      <c r="D192" t="s">
        <v>400</v>
      </c>
      <c r="E192" t="s">
        <v>12</v>
      </c>
      <c r="F192">
        <v>2.92</v>
      </c>
      <c r="G192">
        <v>2030</v>
      </c>
      <c r="H192">
        <v>61.64</v>
      </c>
      <c r="I192" t="s">
        <v>13</v>
      </c>
      <c r="J192" t="s">
        <v>14</v>
      </c>
    </row>
    <row r="193" spans="1:10" x14ac:dyDescent="0.25">
      <c r="A193">
        <v>2538</v>
      </c>
      <c r="B193" t="s">
        <v>401</v>
      </c>
      <c r="C193">
        <v>23</v>
      </c>
      <c r="D193" t="s">
        <v>402</v>
      </c>
      <c r="E193" t="s">
        <v>20</v>
      </c>
      <c r="F193">
        <v>2.2400000000000002</v>
      </c>
      <c r="G193">
        <v>2025</v>
      </c>
      <c r="H193">
        <v>80.64</v>
      </c>
      <c r="I193" t="s">
        <v>13</v>
      </c>
      <c r="J193" t="s">
        <v>21</v>
      </c>
    </row>
    <row r="194" spans="1:10" x14ac:dyDescent="0.25">
      <c r="A194">
        <v>3406</v>
      </c>
      <c r="B194" t="s">
        <v>403</v>
      </c>
      <c r="C194">
        <v>25</v>
      </c>
      <c r="D194" t="s">
        <v>404</v>
      </c>
      <c r="E194" t="s">
        <v>34</v>
      </c>
      <c r="F194">
        <v>2.06</v>
      </c>
      <c r="G194">
        <v>2026</v>
      </c>
      <c r="H194">
        <v>91.71</v>
      </c>
      <c r="I194" t="s">
        <v>13</v>
      </c>
      <c r="J194" t="s">
        <v>14</v>
      </c>
    </row>
    <row r="195" spans="1:10" x14ac:dyDescent="0.25">
      <c r="A195">
        <v>5615</v>
      </c>
      <c r="B195" t="s">
        <v>405</v>
      </c>
      <c r="C195">
        <v>18</v>
      </c>
      <c r="D195" t="s">
        <v>406</v>
      </c>
      <c r="E195" t="s">
        <v>70</v>
      </c>
      <c r="F195">
        <v>2.17</v>
      </c>
      <c r="G195">
        <v>2029</v>
      </c>
      <c r="H195">
        <v>69.72</v>
      </c>
      <c r="I195" t="s">
        <v>13</v>
      </c>
      <c r="J195" t="s">
        <v>21</v>
      </c>
    </row>
    <row r="196" spans="1:10" x14ac:dyDescent="0.25">
      <c r="A196">
        <v>3994</v>
      </c>
      <c r="B196" t="s">
        <v>407</v>
      </c>
      <c r="C196">
        <v>23</v>
      </c>
      <c r="D196" t="s">
        <v>408</v>
      </c>
      <c r="E196" t="s">
        <v>17</v>
      </c>
      <c r="F196">
        <v>2.57</v>
      </c>
      <c r="G196">
        <v>2026</v>
      </c>
      <c r="H196">
        <v>78.61</v>
      </c>
      <c r="I196" t="s">
        <v>13</v>
      </c>
      <c r="J196" t="s">
        <v>14</v>
      </c>
    </row>
    <row r="197" spans="1:10" x14ac:dyDescent="0.25">
      <c r="A197">
        <v>3274</v>
      </c>
      <c r="B197" t="s">
        <v>409</v>
      </c>
      <c r="C197">
        <v>22</v>
      </c>
      <c r="D197" t="s">
        <v>410</v>
      </c>
      <c r="E197" t="s">
        <v>20</v>
      </c>
      <c r="F197">
        <v>2.71</v>
      </c>
      <c r="G197">
        <v>2025</v>
      </c>
      <c r="H197">
        <v>77.400000000000006</v>
      </c>
      <c r="I197" t="s">
        <v>13</v>
      </c>
      <c r="J197" t="s">
        <v>21</v>
      </c>
    </row>
    <row r="198" spans="1:10" x14ac:dyDescent="0.25">
      <c r="A198">
        <v>3609</v>
      </c>
      <c r="B198" t="s">
        <v>411</v>
      </c>
      <c r="C198">
        <v>19</v>
      </c>
      <c r="D198" t="s">
        <v>412</v>
      </c>
      <c r="E198" t="s">
        <v>17</v>
      </c>
      <c r="F198">
        <v>2.2200000000000002</v>
      </c>
      <c r="G198">
        <v>2030</v>
      </c>
      <c r="H198">
        <v>76.11</v>
      </c>
      <c r="I198" t="s">
        <v>13</v>
      </c>
      <c r="J198" t="s">
        <v>14</v>
      </c>
    </row>
    <row r="199" spans="1:10" x14ac:dyDescent="0.25">
      <c r="A199">
        <v>9179</v>
      </c>
      <c r="B199" t="s">
        <v>413</v>
      </c>
      <c r="C199">
        <v>21</v>
      </c>
      <c r="D199" t="s">
        <v>414</v>
      </c>
      <c r="E199" t="s">
        <v>12</v>
      </c>
      <c r="F199">
        <v>3.23</v>
      </c>
      <c r="G199">
        <v>2025</v>
      </c>
      <c r="H199">
        <v>64.87</v>
      </c>
      <c r="I199" t="s">
        <v>13</v>
      </c>
      <c r="J199" t="s">
        <v>21</v>
      </c>
    </row>
    <row r="200" spans="1:10" x14ac:dyDescent="0.25">
      <c r="A200">
        <v>4463</v>
      </c>
      <c r="B200" t="s">
        <v>415</v>
      </c>
      <c r="C200">
        <v>19</v>
      </c>
      <c r="D200" t="s">
        <v>416</v>
      </c>
      <c r="E200" t="s">
        <v>34</v>
      </c>
      <c r="F200">
        <v>3.9</v>
      </c>
      <c r="G200">
        <v>2025</v>
      </c>
      <c r="H200">
        <v>81.03</v>
      </c>
      <c r="I200" t="s">
        <v>13</v>
      </c>
      <c r="J200" t="s">
        <v>21</v>
      </c>
    </row>
    <row r="201" spans="1:10" x14ac:dyDescent="0.25">
      <c r="A201">
        <v>6178</v>
      </c>
      <c r="B201" t="s">
        <v>417</v>
      </c>
      <c r="C201">
        <v>20</v>
      </c>
      <c r="D201" t="s">
        <v>418</v>
      </c>
      <c r="E201" t="s">
        <v>12</v>
      </c>
      <c r="F201">
        <v>3.15</v>
      </c>
      <c r="G201">
        <v>2028</v>
      </c>
      <c r="H201">
        <v>77.849999999999994</v>
      </c>
      <c r="I201" t="s">
        <v>13</v>
      </c>
      <c r="J201" t="s">
        <v>14</v>
      </c>
    </row>
  </sheetData>
  <conditionalFormatting sqref="A2:J201">
    <cfRule type="expression" dxfId="3" priority="1">
      <formula>$F2&gt;=LARGE($F$2:$F$201, 10)</formula>
    </cfRule>
    <cfRule type="expression" dxfId="2" priority="2">
      <formula>"$$=$F2&gt;=LARGE($F$2:$F$201, 10)$$"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1ED3A-6CE8-4ADF-A430-3409666BCD1D}">
  <dimension ref="A3:J77"/>
  <sheetViews>
    <sheetView zoomScale="62" workbookViewId="0">
      <selection activeCell="S19" sqref="S19"/>
    </sheetView>
  </sheetViews>
  <sheetFormatPr defaultRowHeight="13.8" x14ac:dyDescent="0.25"/>
  <cols>
    <col min="1" max="1" width="15.8984375" bestFit="1" customWidth="1"/>
    <col min="2" max="2" width="25.3984375" bestFit="1" customWidth="1"/>
    <col min="3" max="3" width="6.09765625" bestFit="1" customWidth="1"/>
    <col min="4" max="4" width="13.296875" bestFit="1" customWidth="1"/>
    <col min="5" max="9" width="3.59765625" bestFit="1" customWidth="1"/>
    <col min="10" max="10" width="13.296875" bestFit="1" customWidth="1"/>
  </cols>
  <sheetData>
    <row r="3" spans="1:2" x14ac:dyDescent="0.25">
      <c r="A3" t="s">
        <v>421</v>
      </c>
    </row>
    <row r="4" spans="1:2" x14ac:dyDescent="0.25">
      <c r="A4" s="10">
        <v>200</v>
      </c>
    </row>
    <row r="7" spans="1:2" x14ac:dyDescent="0.25">
      <c r="A7" t="s">
        <v>423</v>
      </c>
    </row>
    <row r="8" spans="1:2" x14ac:dyDescent="0.25">
      <c r="A8" s="3">
        <v>79.979399999999998</v>
      </c>
    </row>
    <row r="11" spans="1:2" x14ac:dyDescent="0.25">
      <c r="A11" t="s">
        <v>424</v>
      </c>
    </row>
    <row r="12" spans="1:2" x14ac:dyDescent="0.25">
      <c r="A12" s="3">
        <v>3.027849999999999</v>
      </c>
    </row>
    <row r="14" spans="1:2" x14ac:dyDescent="0.25">
      <c r="A14" s="1" t="s">
        <v>419</v>
      </c>
      <c r="B14" t="s">
        <v>425</v>
      </c>
    </row>
    <row r="15" spans="1:2" x14ac:dyDescent="0.25">
      <c r="A15" s="2" t="s">
        <v>21</v>
      </c>
      <c r="B15" s="10">
        <v>82</v>
      </c>
    </row>
    <row r="16" spans="1:2" x14ac:dyDescent="0.25">
      <c r="A16" s="2" t="s">
        <v>14</v>
      </c>
      <c r="B16" s="10">
        <v>118</v>
      </c>
    </row>
    <row r="17" spans="1:2" x14ac:dyDescent="0.25">
      <c r="A17" s="2" t="s">
        <v>420</v>
      </c>
      <c r="B17" s="10">
        <v>200</v>
      </c>
    </row>
    <row r="21" spans="1:2" x14ac:dyDescent="0.25">
      <c r="A21" s="1" t="s">
        <v>419</v>
      </c>
      <c r="B21" t="s">
        <v>427</v>
      </c>
    </row>
    <row r="22" spans="1:2" x14ac:dyDescent="0.25">
      <c r="A22" s="2" t="s">
        <v>13</v>
      </c>
      <c r="B22" s="10">
        <v>194</v>
      </c>
    </row>
    <row r="23" spans="1:2" x14ac:dyDescent="0.25">
      <c r="A23" s="2" t="s">
        <v>55</v>
      </c>
      <c r="B23" s="10">
        <v>6</v>
      </c>
    </row>
    <row r="24" spans="1:2" x14ac:dyDescent="0.25">
      <c r="A24" s="2" t="s">
        <v>420</v>
      </c>
      <c r="B24" s="10">
        <v>200</v>
      </c>
    </row>
    <row r="28" spans="1:2" x14ac:dyDescent="0.25">
      <c r="A28" s="1" t="s">
        <v>419</v>
      </c>
      <c r="B28" t="s">
        <v>423</v>
      </c>
    </row>
    <row r="29" spans="1:2" x14ac:dyDescent="0.25">
      <c r="A29" s="2" t="s">
        <v>70</v>
      </c>
      <c r="B29" s="4">
        <v>79.081481481481475</v>
      </c>
    </row>
    <row r="30" spans="1:2" x14ac:dyDescent="0.25">
      <c r="A30" s="2" t="s">
        <v>17</v>
      </c>
      <c r="B30" s="4">
        <v>82.878043478260878</v>
      </c>
    </row>
    <row r="31" spans="1:2" x14ac:dyDescent="0.25">
      <c r="A31" s="2" t="s">
        <v>34</v>
      </c>
      <c r="B31" s="4">
        <v>79.740652173913091</v>
      </c>
    </row>
    <row r="32" spans="1:2" x14ac:dyDescent="0.25">
      <c r="A32" s="2" t="s">
        <v>12</v>
      </c>
      <c r="B32" s="4">
        <v>79.451999999999998</v>
      </c>
    </row>
    <row r="33" spans="1:10" x14ac:dyDescent="0.25">
      <c r="A33" s="2" t="s">
        <v>20</v>
      </c>
      <c r="B33" s="4">
        <v>78.365882352941142</v>
      </c>
    </row>
    <row r="34" spans="1:10" x14ac:dyDescent="0.25">
      <c r="A34" s="2" t="s">
        <v>420</v>
      </c>
      <c r="B34" s="4">
        <v>79.979399999999984</v>
      </c>
    </row>
    <row r="37" spans="1:10" x14ac:dyDescent="0.25">
      <c r="A37" s="1" t="s">
        <v>422</v>
      </c>
      <c r="B37" s="1" t="s">
        <v>426</v>
      </c>
    </row>
    <row r="38" spans="1:10" x14ac:dyDescent="0.25">
      <c r="A38" s="1" t="s">
        <v>419</v>
      </c>
      <c r="B38" t="s">
        <v>21</v>
      </c>
      <c r="C38" t="s">
        <v>14</v>
      </c>
      <c r="D38" t="s">
        <v>420</v>
      </c>
    </row>
    <row r="39" spans="1:10" x14ac:dyDescent="0.25">
      <c r="A39" s="2" t="s">
        <v>70</v>
      </c>
      <c r="B39" s="10">
        <v>11</v>
      </c>
      <c r="C39" s="10">
        <v>16</v>
      </c>
      <c r="D39" s="10">
        <v>27</v>
      </c>
    </row>
    <row r="40" spans="1:10" x14ac:dyDescent="0.25">
      <c r="A40" s="2" t="s">
        <v>17</v>
      </c>
      <c r="B40" s="10">
        <v>17</v>
      </c>
      <c r="C40" s="10">
        <v>29</v>
      </c>
      <c r="D40" s="10">
        <v>46</v>
      </c>
    </row>
    <row r="41" spans="1:10" x14ac:dyDescent="0.25">
      <c r="A41" s="2" t="s">
        <v>34</v>
      </c>
      <c r="B41" s="10">
        <v>18</v>
      </c>
      <c r="C41" s="10">
        <v>28</v>
      </c>
      <c r="D41" s="10">
        <v>46</v>
      </c>
    </row>
    <row r="42" spans="1:10" x14ac:dyDescent="0.25">
      <c r="A42" s="2" t="s">
        <v>12</v>
      </c>
      <c r="B42" s="10">
        <v>11</v>
      </c>
      <c r="C42" s="10">
        <v>19</v>
      </c>
      <c r="D42" s="10">
        <v>30</v>
      </c>
    </row>
    <row r="43" spans="1:10" x14ac:dyDescent="0.25">
      <c r="A43" s="2" t="s">
        <v>20</v>
      </c>
      <c r="B43" s="10">
        <v>25</v>
      </c>
      <c r="C43" s="10">
        <v>26</v>
      </c>
      <c r="D43" s="10">
        <v>51</v>
      </c>
    </row>
    <row r="44" spans="1:10" x14ac:dyDescent="0.25">
      <c r="A44" s="2" t="s">
        <v>420</v>
      </c>
      <c r="B44" s="10">
        <v>82</v>
      </c>
      <c r="C44" s="10">
        <v>118</v>
      </c>
      <c r="D44" s="10">
        <v>200</v>
      </c>
    </row>
    <row r="47" spans="1:10" x14ac:dyDescent="0.25">
      <c r="A47" s="1" t="s">
        <v>422</v>
      </c>
      <c r="B47" s="1" t="s">
        <v>426</v>
      </c>
    </row>
    <row r="48" spans="1:10" x14ac:dyDescent="0.25">
      <c r="A48" s="1" t="s">
        <v>419</v>
      </c>
      <c r="B48">
        <v>18</v>
      </c>
      <c r="C48">
        <v>19</v>
      </c>
      <c r="D48">
        <v>20</v>
      </c>
      <c r="E48">
        <v>21</v>
      </c>
      <c r="F48">
        <v>22</v>
      </c>
      <c r="G48">
        <v>23</v>
      </c>
      <c r="H48">
        <v>24</v>
      </c>
      <c r="I48">
        <v>25</v>
      </c>
      <c r="J48" t="s">
        <v>420</v>
      </c>
    </row>
    <row r="49" spans="1:10" x14ac:dyDescent="0.25">
      <c r="A49" s="2">
        <v>2024</v>
      </c>
      <c r="B49">
        <v>1</v>
      </c>
      <c r="C49">
        <v>2</v>
      </c>
      <c r="E49">
        <v>6</v>
      </c>
      <c r="F49">
        <v>5</v>
      </c>
      <c r="G49">
        <v>2</v>
      </c>
      <c r="H49">
        <v>4</v>
      </c>
      <c r="I49">
        <v>3</v>
      </c>
      <c r="J49">
        <v>23</v>
      </c>
    </row>
    <row r="50" spans="1:10" x14ac:dyDescent="0.25">
      <c r="A50" s="2">
        <v>2025</v>
      </c>
      <c r="B50">
        <v>5</v>
      </c>
      <c r="C50">
        <v>3</v>
      </c>
      <c r="D50">
        <v>4</v>
      </c>
      <c r="E50">
        <v>1</v>
      </c>
      <c r="F50">
        <v>4</v>
      </c>
      <c r="G50">
        <v>6</v>
      </c>
      <c r="H50">
        <v>4</v>
      </c>
      <c r="I50">
        <v>3</v>
      </c>
      <c r="J50">
        <v>30</v>
      </c>
    </row>
    <row r="51" spans="1:10" x14ac:dyDescent="0.25">
      <c r="A51" s="2">
        <v>2026</v>
      </c>
      <c r="B51">
        <v>3</v>
      </c>
      <c r="C51">
        <v>2</v>
      </c>
      <c r="D51">
        <v>2</v>
      </c>
      <c r="E51">
        <v>3</v>
      </c>
      <c r="F51">
        <v>4</v>
      </c>
      <c r="G51">
        <v>3</v>
      </c>
      <c r="H51">
        <v>3</v>
      </c>
      <c r="I51">
        <v>3</v>
      </c>
      <c r="J51">
        <v>23</v>
      </c>
    </row>
    <row r="52" spans="1:10" x14ac:dyDescent="0.25">
      <c r="A52" s="2">
        <v>2027</v>
      </c>
      <c r="B52">
        <v>1</v>
      </c>
      <c r="C52">
        <v>6</v>
      </c>
      <c r="D52">
        <v>6</v>
      </c>
      <c r="E52">
        <v>3</v>
      </c>
      <c r="F52">
        <v>6</v>
      </c>
      <c r="G52">
        <v>3</v>
      </c>
      <c r="H52">
        <v>5</v>
      </c>
      <c r="I52">
        <v>6</v>
      </c>
      <c r="J52">
        <v>36</v>
      </c>
    </row>
    <row r="53" spans="1:10" x14ac:dyDescent="0.25">
      <c r="A53" s="2">
        <v>2028</v>
      </c>
      <c r="B53">
        <v>6</v>
      </c>
      <c r="C53">
        <v>3</v>
      </c>
      <c r="D53">
        <v>1</v>
      </c>
      <c r="E53">
        <v>1</v>
      </c>
      <c r="F53">
        <v>3</v>
      </c>
      <c r="G53">
        <v>7</v>
      </c>
      <c r="H53">
        <v>1</v>
      </c>
      <c r="I53">
        <v>3</v>
      </c>
      <c r="J53">
        <v>25</v>
      </c>
    </row>
    <row r="54" spans="1:10" x14ac:dyDescent="0.25">
      <c r="A54" s="2">
        <v>2029</v>
      </c>
      <c r="B54">
        <v>1</v>
      </c>
      <c r="C54">
        <v>5</v>
      </c>
      <c r="D54">
        <v>6</v>
      </c>
      <c r="E54">
        <v>4</v>
      </c>
      <c r="F54">
        <v>2</v>
      </c>
      <c r="G54">
        <v>2</v>
      </c>
      <c r="H54">
        <v>5</v>
      </c>
      <c r="I54">
        <v>1</v>
      </c>
      <c r="J54">
        <v>26</v>
      </c>
    </row>
    <row r="55" spans="1:10" x14ac:dyDescent="0.25">
      <c r="A55" s="2">
        <v>2030</v>
      </c>
      <c r="B55">
        <v>4</v>
      </c>
      <c r="C55">
        <v>6</v>
      </c>
      <c r="D55">
        <v>5</v>
      </c>
      <c r="E55">
        <v>6</v>
      </c>
      <c r="F55">
        <v>4</v>
      </c>
      <c r="G55">
        <v>2</v>
      </c>
      <c r="H55">
        <v>3</v>
      </c>
      <c r="I55">
        <v>7</v>
      </c>
      <c r="J55">
        <v>37</v>
      </c>
    </row>
    <row r="56" spans="1:10" x14ac:dyDescent="0.25">
      <c r="A56" s="2" t="s">
        <v>420</v>
      </c>
      <c r="B56">
        <v>21</v>
      </c>
      <c r="C56">
        <v>27</v>
      </c>
      <c r="D56">
        <v>24</v>
      </c>
      <c r="E56">
        <v>24</v>
      </c>
      <c r="F56">
        <v>28</v>
      </c>
      <c r="G56">
        <v>25</v>
      </c>
      <c r="H56">
        <v>25</v>
      </c>
      <c r="I56">
        <v>26</v>
      </c>
      <c r="J56">
        <v>200</v>
      </c>
    </row>
    <row r="65" spans="1:2" x14ac:dyDescent="0.25">
      <c r="A65" s="1" t="s">
        <v>431</v>
      </c>
      <c r="B65" t="s">
        <v>430</v>
      </c>
    </row>
    <row r="66" spans="1:2" x14ac:dyDescent="0.25">
      <c r="A66" s="2" t="s">
        <v>323</v>
      </c>
      <c r="B66">
        <v>3.99</v>
      </c>
    </row>
    <row r="67" spans="1:2" x14ac:dyDescent="0.25">
      <c r="A67" s="2" t="s">
        <v>359</v>
      </c>
      <c r="B67">
        <v>3.98</v>
      </c>
    </row>
    <row r="68" spans="1:2" x14ac:dyDescent="0.25">
      <c r="A68" s="2" t="s">
        <v>303</v>
      </c>
      <c r="B68">
        <v>3.98</v>
      </c>
    </row>
    <row r="69" spans="1:2" x14ac:dyDescent="0.25">
      <c r="A69" s="2" t="s">
        <v>189</v>
      </c>
      <c r="B69">
        <v>3.97</v>
      </c>
    </row>
    <row r="70" spans="1:2" x14ac:dyDescent="0.25">
      <c r="A70" s="2" t="s">
        <v>223</v>
      </c>
      <c r="B70">
        <v>3.97</v>
      </c>
    </row>
    <row r="71" spans="1:2" x14ac:dyDescent="0.25">
      <c r="A71" s="2" t="s">
        <v>389</v>
      </c>
      <c r="B71">
        <v>3.96</v>
      </c>
    </row>
    <row r="72" spans="1:2" x14ac:dyDescent="0.25">
      <c r="A72" s="2" t="s">
        <v>213</v>
      </c>
      <c r="B72">
        <v>3.95</v>
      </c>
    </row>
    <row r="73" spans="1:2" x14ac:dyDescent="0.25">
      <c r="A73" s="2" t="s">
        <v>117</v>
      </c>
      <c r="B73">
        <v>3.94</v>
      </c>
    </row>
    <row r="74" spans="1:2" x14ac:dyDescent="0.25">
      <c r="A74" s="2" t="s">
        <v>49</v>
      </c>
      <c r="B74">
        <v>3.92</v>
      </c>
    </row>
    <row r="75" spans="1:2" x14ac:dyDescent="0.25">
      <c r="A75" s="2" t="s">
        <v>161</v>
      </c>
      <c r="B75">
        <v>3.92</v>
      </c>
    </row>
    <row r="76" spans="1:2" x14ac:dyDescent="0.25">
      <c r="A76" s="2" t="s">
        <v>163</v>
      </c>
      <c r="B76">
        <v>3.92</v>
      </c>
    </row>
    <row r="77" spans="1:2" x14ac:dyDescent="0.25">
      <c r="A77" s="2" t="s">
        <v>420</v>
      </c>
      <c r="B77">
        <v>43.5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3E1FE-9F37-4D2B-A6C1-9D8481DC68FE}">
  <dimension ref="A1:E201"/>
  <sheetViews>
    <sheetView workbookViewId="0">
      <selection activeCell="E2" sqref="E2"/>
    </sheetView>
  </sheetViews>
  <sheetFormatPr defaultRowHeight="13.8" x14ac:dyDescent="0.25"/>
  <cols>
    <col min="1" max="2" width="22.796875" customWidth="1"/>
    <col min="5" max="5" width="18.8984375" customWidth="1"/>
  </cols>
  <sheetData>
    <row r="1" spans="1:5" x14ac:dyDescent="0.25">
      <c r="A1" t="s">
        <v>0</v>
      </c>
      <c r="B1" t="s">
        <v>1</v>
      </c>
      <c r="D1" s="5" t="s">
        <v>428</v>
      </c>
      <c r="E1" s="5" t="s">
        <v>429</v>
      </c>
    </row>
    <row r="2" spans="1:5" ht="14.4" x14ac:dyDescent="0.3">
      <c r="A2">
        <v>3336</v>
      </c>
      <c r="B2" t="s">
        <v>10</v>
      </c>
      <c r="D2" s="6">
        <v>5001</v>
      </c>
      <c r="E2" t="str">
        <f>VLOOKUP(D2,A2:B201,2,FALSE)</f>
        <v>Jasmin Pena</v>
      </c>
    </row>
    <row r="3" spans="1:5" x14ac:dyDescent="0.25">
      <c r="A3">
        <v>8774</v>
      </c>
      <c r="B3" t="s">
        <v>15</v>
      </c>
    </row>
    <row r="4" spans="1:5" x14ac:dyDescent="0.25">
      <c r="A4">
        <v>1396</v>
      </c>
      <c r="B4" t="s">
        <v>18</v>
      </c>
    </row>
    <row r="5" spans="1:5" x14ac:dyDescent="0.25">
      <c r="A5">
        <v>6716</v>
      </c>
      <c r="B5" t="s">
        <v>22</v>
      </c>
    </row>
    <row r="6" spans="1:5" x14ac:dyDescent="0.25">
      <c r="A6">
        <v>8830</v>
      </c>
      <c r="B6" t="s">
        <v>24</v>
      </c>
    </row>
    <row r="7" spans="1:5" x14ac:dyDescent="0.25">
      <c r="A7">
        <v>5305</v>
      </c>
      <c r="B7" t="s">
        <v>26</v>
      </c>
    </row>
    <row r="8" spans="1:5" x14ac:dyDescent="0.25">
      <c r="A8">
        <v>5048</v>
      </c>
      <c r="B8" t="s">
        <v>28</v>
      </c>
    </row>
    <row r="9" spans="1:5" x14ac:dyDescent="0.25">
      <c r="A9">
        <v>5986</v>
      </c>
      <c r="B9" t="s">
        <v>30</v>
      </c>
    </row>
    <row r="10" spans="1:5" x14ac:dyDescent="0.25">
      <c r="A10">
        <v>8721</v>
      </c>
      <c r="B10" t="s">
        <v>32</v>
      </c>
    </row>
    <row r="11" spans="1:5" x14ac:dyDescent="0.25">
      <c r="A11">
        <v>6622</v>
      </c>
      <c r="B11" t="s">
        <v>35</v>
      </c>
    </row>
    <row r="12" spans="1:5" x14ac:dyDescent="0.25">
      <c r="A12">
        <v>3254</v>
      </c>
      <c r="B12" t="s">
        <v>37</v>
      </c>
    </row>
    <row r="13" spans="1:5" x14ac:dyDescent="0.25">
      <c r="A13">
        <v>8021</v>
      </c>
      <c r="B13" t="s">
        <v>39</v>
      </c>
    </row>
    <row r="14" spans="1:5" x14ac:dyDescent="0.25">
      <c r="A14">
        <v>9477</v>
      </c>
      <c r="B14" t="s">
        <v>41</v>
      </c>
    </row>
    <row r="15" spans="1:5" x14ac:dyDescent="0.25">
      <c r="A15">
        <v>9144</v>
      </c>
      <c r="B15" t="s">
        <v>43</v>
      </c>
    </row>
    <row r="16" spans="1:5" x14ac:dyDescent="0.25">
      <c r="A16">
        <v>4854</v>
      </c>
      <c r="B16" t="s">
        <v>45</v>
      </c>
    </row>
    <row r="17" spans="1:2" x14ac:dyDescent="0.25">
      <c r="A17">
        <v>3690</v>
      </c>
      <c r="B17" t="s">
        <v>47</v>
      </c>
    </row>
    <row r="18" spans="1:2" x14ac:dyDescent="0.25">
      <c r="A18">
        <v>4462</v>
      </c>
      <c r="B18" t="s">
        <v>49</v>
      </c>
    </row>
    <row r="19" spans="1:2" x14ac:dyDescent="0.25">
      <c r="A19">
        <v>3255</v>
      </c>
      <c r="B19" t="s">
        <v>51</v>
      </c>
    </row>
    <row r="20" spans="1:2" x14ac:dyDescent="0.25">
      <c r="A20">
        <v>5446</v>
      </c>
      <c r="B20" t="s">
        <v>53</v>
      </c>
    </row>
    <row r="21" spans="1:2" x14ac:dyDescent="0.25">
      <c r="A21">
        <v>8125</v>
      </c>
      <c r="B21" t="s">
        <v>56</v>
      </c>
    </row>
    <row r="22" spans="1:2" x14ac:dyDescent="0.25">
      <c r="A22">
        <v>3052</v>
      </c>
      <c r="B22" t="s">
        <v>58</v>
      </c>
    </row>
    <row r="23" spans="1:2" x14ac:dyDescent="0.25">
      <c r="A23">
        <v>2602</v>
      </c>
      <c r="B23" t="s">
        <v>60</v>
      </c>
    </row>
    <row r="24" spans="1:2" x14ac:dyDescent="0.25">
      <c r="A24">
        <v>1866</v>
      </c>
      <c r="B24" t="s">
        <v>62</v>
      </c>
    </row>
    <row r="25" spans="1:2" x14ac:dyDescent="0.25">
      <c r="A25">
        <v>4908</v>
      </c>
      <c r="B25" t="s">
        <v>64</v>
      </c>
    </row>
    <row r="26" spans="1:2" x14ac:dyDescent="0.25">
      <c r="A26">
        <v>6711</v>
      </c>
      <c r="B26" t="s">
        <v>66</v>
      </c>
    </row>
    <row r="27" spans="1:2" x14ac:dyDescent="0.25">
      <c r="A27">
        <v>1165</v>
      </c>
      <c r="B27" t="s">
        <v>68</v>
      </c>
    </row>
    <row r="28" spans="1:2" x14ac:dyDescent="0.25">
      <c r="A28">
        <v>7657</v>
      </c>
      <c r="B28" t="s">
        <v>71</v>
      </c>
    </row>
    <row r="29" spans="1:2" x14ac:dyDescent="0.25">
      <c r="A29">
        <v>4776</v>
      </c>
      <c r="B29" t="s">
        <v>73</v>
      </c>
    </row>
    <row r="30" spans="1:2" x14ac:dyDescent="0.25">
      <c r="A30">
        <v>5711</v>
      </c>
      <c r="B30" t="s">
        <v>75</v>
      </c>
    </row>
    <row r="31" spans="1:2" x14ac:dyDescent="0.25">
      <c r="A31">
        <v>8511</v>
      </c>
      <c r="B31" t="s">
        <v>77</v>
      </c>
    </row>
    <row r="32" spans="1:2" x14ac:dyDescent="0.25">
      <c r="A32">
        <v>4009</v>
      </c>
      <c r="B32" t="s">
        <v>79</v>
      </c>
    </row>
    <row r="33" spans="1:2" x14ac:dyDescent="0.25">
      <c r="A33">
        <v>7998</v>
      </c>
      <c r="B33" t="s">
        <v>81</v>
      </c>
    </row>
    <row r="34" spans="1:2" x14ac:dyDescent="0.25">
      <c r="A34">
        <v>5676</v>
      </c>
      <c r="B34" t="s">
        <v>83</v>
      </c>
    </row>
    <row r="35" spans="1:2" x14ac:dyDescent="0.25">
      <c r="A35">
        <v>8134</v>
      </c>
      <c r="B35" t="s">
        <v>85</v>
      </c>
    </row>
    <row r="36" spans="1:2" x14ac:dyDescent="0.25">
      <c r="A36">
        <v>5119</v>
      </c>
      <c r="B36" t="s">
        <v>87</v>
      </c>
    </row>
    <row r="37" spans="1:2" x14ac:dyDescent="0.25">
      <c r="A37">
        <v>7304</v>
      </c>
      <c r="B37" t="s">
        <v>89</v>
      </c>
    </row>
    <row r="38" spans="1:2" x14ac:dyDescent="0.25">
      <c r="A38">
        <v>3663</v>
      </c>
      <c r="B38" t="s">
        <v>91</v>
      </c>
    </row>
    <row r="39" spans="1:2" x14ac:dyDescent="0.25">
      <c r="A39">
        <v>6423</v>
      </c>
      <c r="B39" t="s">
        <v>93</v>
      </c>
    </row>
    <row r="40" spans="1:2" x14ac:dyDescent="0.25">
      <c r="A40">
        <v>5155</v>
      </c>
      <c r="B40" t="s">
        <v>95</v>
      </c>
    </row>
    <row r="41" spans="1:2" x14ac:dyDescent="0.25">
      <c r="A41">
        <v>1066</v>
      </c>
      <c r="B41" t="s">
        <v>97</v>
      </c>
    </row>
    <row r="42" spans="1:2" x14ac:dyDescent="0.25">
      <c r="A42">
        <v>5773</v>
      </c>
      <c r="B42" t="s">
        <v>99</v>
      </c>
    </row>
    <row r="43" spans="1:2" x14ac:dyDescent="0.25">
      <c r="A43">
        <v>8417</v>
      </c>
      <c r="B43" t="s">
        <v>101</v>
      </c>
    </row>
    <row r="44" spans="1:2" x14ac:dyDescent="0.25">
      <c r="A44">
        <v>4235</v>
      </c>
      <c r="B44" t="s">
        <v>103</v>
      </c>
    </row>
    <row r="45" spans="1:2" x14ac:dyDescent="0.25">
      <c r="A45">
        <v>7002</v>
      </c>
      <c r="B45" t="s">
        <v>105</v>
      </c>
    </row>
    <row r="46" spans="1:2" x14ac:dyDescent="0.25">
      <c r="A46">
        <v>5998</v>
      </c>
      <c r="B46" t="s">
        <v>107</v>
      </c>
    </row>
    <row r="47" spans="1:2" x14ac:dyDescent="0.25">
      <c r="A47">
        <v>9661</v>
      </c>
      <c r="B47" t="s">
        <v>109</v>
      </c>
    </row>
    <row r="48" spans="1:2" x14ac:dyDescent="0.25">
      <c r="A48">
        <v>5144</v>
      </c>
      <c r="B48" t="s">
        <v>111</v>
      </c>
    </row>
    <row r="49" spans="1:2" x14ac:dyDescent="0.25">
      <c r="A49">
        <v>3719</v>
      </c>
      <c r="B49" t="s">
        <v>113</v>
      </c>
    </row>
    <row r="50" spans="1:2" x14ac:dyDescent="0.25">
      <c r="A50">
        <v>9310</v>
      </c>
      <c r="B50" t="s">
        <v>115</v>
      </c>
    </row>
    <row r="51" spans="1:2" x14ac:dyDescent="0.25">
      <c r="A51">
        <v>9271</v>
      </c>
      <c r="B51" t="s">
        <v>117</v>
      </c>
    </row>
    <row r="52" spans="1:2" x14ac:dyDescent="0.25">
      <c r="A52">
        <v>4603</v>
      </c>
      <c r="B52" t="s">
        <v>119</v>
      </c>
    </row>
    <row r="53" spans="1:2" x14ac:dyDescent="0.25">
      <c r="A53">
        <v>5001</v>
      </c>
      <c r="B53" t="s">
        <v>121</v>
      </c>
    </row>
    <row r="54" spans="1:2" x14ac:dyDescent="0.25">
      <c r="A54">
        <v>5618</v>
      </c>
      <c r="B54" t="s">
        <v>123</v>
      </c>
    </row>
    <row r="55" spans="1:2" x14ac:dyDescent="0.25">
      <c r="A55">
        <v>3205</v>
      </c>
      <c r="B55" t="s">
        <v>125</v>
      </c>
    </row>
    <row r="56" spans="1:2" x14ac:dyDescent="0.25">
      <c r="A56">
        <v>8431</v>
      </c>
      <c r="B56" t="s">
        <v>127</v>
      </c>
    </row>
    <row r="57" spans="1:2" x14ac:dyDescent="0.25">
      <c r="A57">
        <v>4604</v>
      </c>
      <c r="B57" t="s">
        <v>129</v>
      </c>
    </row>
    <row r="58" spans="1:2" x14ac:dyDescent="0.25">
      <c r="A58">
        <v>7287</v>
      </c>
      <c r="B58" t="s">
        <v>131</v>
      </c>
    </row>
    <row r="59" spans="1:2" x14ac:dyDescent="0.25">
      <c r="A59">
        <v>3481</v>
      </c>
      <c r="B59" t="s">
        <v>133</v>
      </c>
    </row>
    <row r="60" spans="1:2" x14ac:dyDescent="0.25">
      <c r="A60">
        <v>3068</v>
      </c>
      <c r="B60" t="s">
        <v>135</v>
      </c>
    </row>
    <row r="61" spans="1:2" x14ac:dyDescent="0.25">
      <c r="A61">
        <v>4514</v>
      </c>
      <c r="B61" t="s">
        <v>137</v>
      </c>
    </row>
    <row r="62" spans="1:2" x14ac:dyDescent="0.25">
      <c r="A62">
        <v>2499</v>
      </c>
      <c r="B62" t="s">
        <v>139</v>
      </c>
    </row>
    <row r="63" spans="1:2" x14ac:dyDescent="0.25">
      <c r="A63">
        <v>5212</v>
      </c>
      <c r="B63" t="s">
        <v>141</v>
      </c>
    </row>
    <row r="64" spans="1:2" x14ac:dyDescent="0.25">
      <c r="A64">
        <v>5550</v>
      </c>
      <c r="B64" t="s">
        <v>143</v>
      </c>
    </row>
    <row r="65" spans="1:2" x14ac:dyDescent="0.25">
      <c r="A65">
        <v>8265</v>
      </c>
      <c r="B65" t="s">
        <v>145</v>
      </c>
    </row>
    <row r="66" spans="1:2" x14ac:dyDescent="0.25">
      <c r="A66">
        <v>6398</v>
      </c>
      <c r="B66" t="s">
        <v>147</v>
      </c>
    </row>
    <row r="67" spans="1:2" x14ac:dyDescent="0.25">
      <c r="A67">
        <v>2706</v>
      </c>
      <c r="B67" t="s">
        <v>149</v>
      </c>
    </row>
    <row r="68" spans="1:2" x14ac:dyDescent="0.25">
      <c r="A68">
        <v>9410</v>
      </c>
      <c r="B68" t="s">
        <v>151</v>
      </c>
    </row>
    <row r="69" spans="1:2" x14ac:dyDescent="0.25">
      <c r="A69">
        <v>5851</v>
      </c>
      <c r="B69" t="s">
        <v>153</v>
      </c>
    </row>
    <row r="70" spans="1:2" x14ac:dyDescent="0.25">
      <c r="A70">
        <v>9842</v>
      </c>
      <c r="B70" t="s">
        <v>155</v>
      </c>
    </row>
    <row r="71" spans="1:2" x14ac:dyDescent="0.25">
      <c r="A71">
        <v>6069</v>
      </c>
      <c r="B71" t="s">
        <v>157</v>
      </c>
    </row>
    <row r="72" spans="1:2" x14ac:dyDescent="0.25">
      <c r="A72">
        <v>7081</v>
      </c>
      <c r="B72" t="s">
        <v>159</v>
      </c>
    </row>
    <row r="73" spans="1:2" x14ac:dyDescent="0.25">
      <c r="A73">
        <v>9812</v>
      </c>
      <c r="B73" t="s">
        <v>161</v>
      </c>
    </row>
    <row r="74" spans="1:2" x14ac:dyDescent="0.25">
      <c r="A74">
        <v>1790</v>
      </c>
      <c r="B74" t="s">
        <v>163</v>
      </c>
    </row>
    <row r="75" spans="1:2" x14ac:dyDescent="0.25">
      <c r="A75">
        <v>8268</v>
      </c>
      <c r="B75" t="s">
        <v>165</v>
      </c>
    </row>
    <row r="76" spans="1:2" x14ac:dyDescent="0.25">
      <c r="A76">
        <v>1383</v>
      </c>
      <c r="B76" t="s">
        <v>167</v>
      </c>
    </row>
    <row r="77" spans="1:2" x14ac:dyDescent="0.25">
      <c r="A77">
        <v>4197</v>
      </c>
      <c r="B77" t="s">
        <v>169</v>
      </c>
    </row>
    <row r="78" spans="1:2" x14ac:dyDescent="0.25">
      <c r="A78">
        <v>4517</v>
      </c>
      <c r="B78" t="s">
        <v>171</v>
      </c>
    </row>
    <row r="79" spans="1:2" x14ac:dyDescent="0.25">
      <c r="A79">
        <v>6733</v>
      </c>
      <c r="B79" t="s">
        <v>173</v>
      </c>
    </row>
    <row r="80" spans="1:2" x14ac:dyDescent="0.25">
      <c r="A80">
        <v>5406</v>
      </c>
      <c r="B80" t="s">
        <v>175</v>
      </c>
    </row>
    <row r="81" spans="1:2" x14ac:dyDescent="0.25">
      <c r="A81">
        <v>5652</v>
      </c>
      <c r="B81" t="s">
        <v>177</v>
      </c>
    </row>
    <row r="82" spans="1:2" x14ac:dyDescent="0.25">
      <c r="A82">
        <v>4846</v>
      </c>
      <c r="B82" t="s">
        <v>179</v>
      </c>
    </row>
    <row r="83" spans="1:2" x14ac:dyDescent="0.25">
      <c r="A83">
        <v>9806</v>
      </c>
      <c r="B83" t="s">
        <v>181</v>
      </c>
    </row>
    <row r="84" spans="1:2" x14ac:dyDescent="0.25">
      <c r="A84">
        <v>8526</v>
      </c>
      <c r="B84" t="s">
        <v>183</v>
      </c>
    </row>
    <row r="85" spans="1:2" x14ac:dyDescent="0.25">
      <c r="A85">
        <v>3257</v>
      </c>
      <c r="B85" t="s">
        <v>185</v>
      </c>
    </row>
    <row r="86" spans="1:2" x14ac:dyDescent="0.25">
      <c r="A86">
        <v>1214</v>
      </c>
      <c r="B86" t="s">
        <v>187</v>
      </c>
    </row>
    <row r="87" spans="1:2" x14ac:dyDescent="0.25">
      <c r="A87">
        <v>2921</v>
      </c>
      <c r="B87" t="s">
        <v>189</v>
      </c>
    </row>
    <row r="88" spans="1:2" x14ac:dyDescent="0.25">
      <c r="A88">
        <v>1853</v>
      </c>
      <c r="B88" t="s">
        <v>191</v>
      </c>
    </row>
    <row r="89" spans="1:2" x14ac:dyDescent="0.25">
      <c r="A89">
        <v>4418</v>
      </c>
      <c r="B89" t="s">
        <v>193</v>
      </c>
    </row>
    <row r="90" spans="1:2" x14ac:dyDescent="0.25">
      <c r="A90">
        <v>6729</v>
      </c>
      <c r="B90" t="s">
        <v>195</v>
      </c>
    </row>
    <row r="91" spans="1:2" x14ac:dyDescent="0.25">
      <c r="A91">
        <v>4509</v>
      </c>
      <c r="B91" t="s">
        <v>197</v>
      </c>
    </row>
    <row r="92" spans="1:2" x14ac:dyDescent="0.25">
      <c r="A92">
        <v>8646</v>
      </c>
      <c r="B92" t="s">
        <v>199</v>
      </c>
    </row>
    <row r="93" spans="1:2" x14ac:dyDescent="0.25">
      <c r="A93">
        <v>4675</v>
      </c>
      <c r="B93" t="s">
        <v>201</v>
      </c>
    </row>
    <row r="94" spans="1:2" x14ac:dyDescent="0.25">
      <c r="A94">
        <v>9291</v>
      </c>
      <c r="B94" t="s">
        <v>203</v>
      </c>
    </row>
    <row r="95" spans="1:2" x14ac:dyDescent="0.25">
      <c r="A95">
        <v>8808</v>
      </c>
      <c r="B95" t="s">
        <v>205</v>
      </c>
    </row>
    <row r="96" spans="1:2" x14ac:dyDescent="0.25">
      <c r="A96">
        <v>5441</v>
      </c>
      <c r="B96" t="s">
        <v>207</v>
      </c>
    </row>
    <row r="97" spans="1:2" x14ac:dyDescent="0.25">
      <c r="A97">
        <v>6001</v>
      </c>
      <c r="B97" t="s">
        <v>209</v>
      </c>
    </row>
    <row r="98" spans="1:2" x14ac:dyDescent="0.25">
      <c r="A98">
        <v>5630</v>
      </c>
      <c r="B98" t="s">
        <v>211</v>
      </c>
    </row>
    <row r="99" spans="1:2" x14ac:dyDescent="0.25">
      <c r="A99">
        <v>4311</v>
      </c>
      <c r="B99" t="s">
        <v>213</v>
      </c>
    </row>
    <row r="100" spans="1:2" x14ac:dyDescent="0.25">
      <c r="A100">
        <v>6577</v>
      </c>
      <c r="B100" t="s">
        <v>215</v>
      </c>
    </row>
    <row r="101" spans="1:2" x14ac:dyDescent="0.25">
      <c r="A101">
        <v>6809</v>
      </c>
      <c r="B101" t="s">
        <v>217</v>
      </c>
    </row>
    <row r="102" spans="1:2" x14ac:dyDescent="0.25">
      <c r="A102">
        <v>2318</v>
      </c>
      <c r="B102" t="s">
        <v>219</v>
      </c>
    </row>
    <row r="103" spans="1:2" x14ac:dyDescent="0.25">
      <c r="A103">
        <v>4948</v>
      </c>
      <c r="B103" t="s">
        <v>221</v>
      </c>
    </row>
    <row r="104" spans="1:2" x14ac:dyDescent="0.25">
      <c r="A104">
        <v>7574</v>
      </c>
      <c r="B104" t="s">
        <v>223</v>
      </c>
    </row>
    <row r="105" spans="1:2" x14ac:dyDescent="0.25">
      <c r="A105">
        <v>8155</v>
      </c>
      <c r="B105" t="s">
        <v>225</v>
      </c>
    </row>
    <row r="106" spans="1:2" x14ac:dyDescent="0.25">
      <c r="A106">
        <v>5776</v>
      </c>
      <c r="B106" t="s">
        <v>227</v>
      </c>
    </row>
    <row r="107" spans="1:2" x14ac:dyDescent="0.25">
      <c r="A107">
        <v>1857</v>
      </c>
      <c r="B107" t="s">
        <v>229</v>
      </c>
    </row>
    <row r="108" spans="1:2" x14ac:dyDescent="0.25">
      <c r="A108">
        <v>1742</v>
      </c>
      <c r="B108" t="s">
        <v>231</v>
      </c>
    </row>
    <row r="109" spans="1:2" x14ac:dyDescent="0.25">
      <c r="A109">
        <v>4406</v>
      </c>
      <c r="B109" t="s">
        <v>233</v>
      </c>
    </row>
    <row r="110" spans="1:2" x14ac:dyDescent="0.25">
      <c r="A110">
        <v>2800</v>
      </c>
      <c r="B110" t="s">
        <v>235</v>
      </c>
    </row>
    <row r="111" spans="1:2" x14ac:dyDescent="0.25">
      <c r="A111">
        <v>1666</v>
      </c>
      <c r="B111" t="s">
        <v>237</v>
      </c>
    </row>
    <row r="112" spans="1:2" x14ac:dyDescent="0.25">
      <c r="A112">
        <v>1328</v>
      </c>
      <c r="B112" t="s">
        <v>239</v>
      </c>
    </row>
    <row r="113" spans="1:2" x14ac:dyDescent="0.25">
      <c r="A113">
        <v>7728</v>
      </c>
      <c r="B113" t="s">
        <v>241</v>
      </c>
    </row>
    <row r="114" spans="1:2" x14ac:dyDescent="0.25">
      <c r="A114">
        <v>6489</v>
      </c>
      <c r="B114" t="s">
        <v>243</v>
      </c>
    </row>
    <row r="115" spans="1:2" x14ac:dyDescent="0.25">
      <c r="A115">
        <v>9047</v>
      </c>
      <c r="B115" t="s">
        <v>245</v>
      </c>
    </row>
    <row r="116" spans="1:2" x14ac:dyDescent="0.25">
      <c r="A116">
        <v>5788</v>
      </c>
      <c r="B116" t="s">
        <v>247</v>
      </c>
    </row>
    <row r="117" spans="1:2" x14ac:dyDescent="0.25">
      <c r="A117">
        <v>8426</v>
      </c>
      <c r="B117" t="s">
        <v>249</v>
      </c>
    </row>
    <row r="118" spans="1:2" x14ac:dyDescent="0.25">
      <c r="A118">
        <v>8366</v>
      </c>
      <c r="B118" t="s">
        <v>251</v>
      </c>
    </row>
    <row r="119" spans="1:2" x14ac:dyDescent="0.25">
      <c r="A119">
        <v>2963</v>
      </c>
      <c r="B119" t="s">
        <v>253</v>
      </c>
    </row>
    <row r="120" spans="1:2" x14ac:dyDescent="0.25">
      <c r="A120">
        <v>3669</v>
      </c>
      <c r="B120" t="s">
        <v>255</v>
      </c>
    </row>
    <row r="121" spans="1:2" x14ac:dyDescent="0.25">
      <c r="A121">
        <v>4925</v>
      </c>
      <c r="B121" t="s">
        <v>257</v>
      </c>
    </row>
    <row r="122" spans="1:2" x14ac:dyDescent="0.25">
      <c r="A122">
        <v>6915</v>
      </c>
      <c r="B122" t="s">
        <v>259</v>
      </c>
    </row>
    <row r="123" spans="1:2" x14ac:dyDescent="0.25">
      <c r="A123">
        <v>4538</v>
      </c>
      <c r="B123" t="s">
        <v>261</v>
      </c>
    </row>
    <row r="124" spans="1:2" x14ac:dyDescent="0.25">
      <c r="A124">
        <v>1663</v>
      </c>
      <c r="B124" t="s">
        <v>263</v>
      </c>
    </row>
    <row r="125" spans="1:2" x14ac:dyDescent="0.25">
      <c r="A125">
        <v>1708</v>
      </c>
      <c r="B125" t="s">
        <v>265</v>
      </c>
    </row>
    <row r="126" spans="1:2" x14ac:dyDescent="0.25">
      <c r="A126">
        <v>9707</v>
      </c>
      <c r="B126" t="s">
        <v>267</v>
      </c>
    </row>
    <row r="127" spans="1:2" x14ac:dyDescent="0.25">
      <c r="A127">
        <v>4188</v>
      </c>
      <c r="B127" t="s">
        <v>269</v>
      </c>
    </row>
    <row r="128" spans="1:2" x14ac:dyDescent="0.25">
      <c r="A128">
        <v>5902</v>
      </c>
      <c r="B128" t="s">
        <v>271</v>
      </c>
    </row>
    <row r="129" spans="1:2" x14ac:dyDescent="0.25">
      <c r="A129">
        <v>7107</v>
      </c>
      <c r="B129" t="s">
        <v>273</v>
      </c>
    </row>
    <row r="130" spans="1:2" x14ac:dyDescent="0.25">
      <c r="A130">
        <v>8040</v>
      </c>
      <c r="B130" t="s">
        <v>275</v>
      </c>
    </row>
    <row r="131" spans="1:2" x14ac:dyDescent="0.25">
      <c r="A131">
        <v>4140</v>
      </c>
      <c r="B131" t="s">
        <v>277</v>
      </c>
    </row>
    <row r="132" spans="1:2" x14ac:dyDescent="0.25">
      <c r="A132">
        <v>3797</v>
      </c>
      <c r="B132" t="s">
        <v>279</v>
      </c>
    </row>
    <row r="133" spans="1:2" x14ac:dyDescent="0.25">
      <c r="A133">
        <v>7752</v>
      </c>
      <c r="B133" t="s">
        <v>281</v>
      </c>
    </row>
    <row r="134" spans="1:2" x14ac:dyDescent="0.25">
      <c r="A134">
        <v>8473</v>
      </c>
      <c r="B134" t="s">
        <v>283</v>
      </c>
    </row>
    <row r="135" spans="1:2" x14ac:dyDescent="0.25">
      <c r="A135">
        <v>1613</v>
      </c>
      <c r="B135" t="s">
        <v>285</v>
      </c>
    </row>
    <row r="136" spans="1:2" x14ac:dyDescent="0.25">
      <c r="A136">
        <v>8298</v>
      </c>
      <c r="B136" t="s">
        <v>287</v>
      </c>
    </row>
    <row r="137" spans="1:2" x14ac:dyDescent="0.25">
      <c r="A137">
        <v>6502</v>
      </c>
      <c r="B137" t="s">
        <v>289</v>
      </c>
    </row>
    <row r="138" spans="1:2" x14ac:dyDescent="0.25">
      <c r="A138">
        <v>7506</v>
      </c>
      <c r="B138" t="s">
        <v>291</v>
      </c>
    </row>
    <row r="139" spans="1:2" x14ac:dyDescent="0.25">
      <c r="A139">
        <v>4633</v>
      </c>
      <c r="B139" t="s">
        <v>293</v>
      </c>
    </row>
    <row r="140" spans="1:2" x14ac:dyDescent="0.25">
      <c r="A140">
        <v>9239</v>
      </c>
      <c r="B140" t="s">
        <v>295</v>
      </c>
    </row>
    <row r="141" spans="1:2" x14ac:dyDescent="0.25">
      <c r="A141">
        <v>9872</v>
      </c>
      <c r="B141" t="s">
        <v>297</v>
      </c>
    </row>
    <row r="142" spans="1:2" x14ac:dyDescent="0.25">
      <c r="A142">
        <v>6585</v>
      </c>
      <c r="B142" t="s">
        <v>299</v>
      </c>
    </row>
    <row r="143" spans="1:2" x14ac:dyDescent="0.25">
      <c r="A143">
        <v>1594</v>
      </c>
      <c r="B143" t="s">
        <v>301</v>
      </c>
    </row>
    <row r="144" spans="1:2" x14ac:dyDescent="0.25">
      <c r="A144">
        <v>7265</v>
      </c>
      <c r="B144" t="s">
        <v>303</v>
      </c>
    </row>
    <row r="145" spans="1:2" x14ac:dyDescent="0.25">
      <c r="A145">
        <v>9985</v>
      </c>
      <c r="B145" t="s">
        <v>305</v>
      </c>
    </row>
    <row r="146" spans="1:2" x14ac:dyDescent="0.25">
      <c r="A146">
        <v>9204</v>
      </c>
      <c r="B146" t="s">
        <v>307</v>
      </c>
    </row>
    <row r="147" spans="1:2" x14ac:dyDescent="0.25">
      <c r="A147">
        <v>1959</v>
      </c>
      <c r="B147" t="s">
        <v>309</v>
      </c>
    </row>
    <row r="148" spans="1:2" x14ac:dyDescent="0.25">
      <c r="A148">
        <v>4036</v>
      </c>
      <c r="B148" t="s">
        <v>311</v>
      </c>
    </row>
    <row r="149" spans="1:2" x14ac:dyDescent="0.25">
      <c r="A149">
        <v>3694</v>
      </c>
      <c r="B149" t="s">
        <v>313</v>
      </c>
    </row>
    <row r="150" spans="1:2" x14ac:dyDescent="0.25">
      <c r="A150">
        <v>7829</v>
      </c>
      <c r="B150" t="s">
        <v>315</v>
      </c>
    </row>
    <row r="151" spans="1:2" x14ac:dyDescent="0.25">
      <c r="A151">
        <v>8694</v>
      </c>
      <c r="B151" t="s">
        <v>317</v>
      </c>
    </row>
    <row r="152" spans="1:2" x14ac:dyDescent="0.25">
      <c r="A152">
        <v>9382</v>
      </c>
      <c r="B152" t="s">
        <v>319</v>
      </c>
    </row>
    <row r="153" spans="1:2" x14ac:dyDescent="0.25">
      <c r="A153">
        <v>1113</v>
      </c>
      <c r="B153" t="s">
        <v>321</v>
      </c>
    </row>
    <row r="154" spans="1:2" x14ac:dyDescent="0.25">
      <c r="A154">
        <v>7637</v>
      </c>
      <c r="B154" t="s">
        <v>323</v>
      </c>
    </row>
    <row r="155" spans="1:2" x14ac:dyDescent="0.25">
      <c r="A155">
        <v>6344</v>
      </c>
      <c r="B155" t="s">
        <v>325</v>
      </c>
    </row>
    <row r="156" spans="1:2" x14ac:dyDescent="0.25">
      <c r="A156">
        <v>5468</v>
      </c>
      <c r="B156" t="s">
        <v>327</v>
      </c>
    </row>
    <row r="157" spans="1:2" x14ac:dyDescent="0.25">
      <c r="A157">
        <v>2698</v>
      </c>
      <c r="B157" t="s">
        <v>329</v>
      </c>
    </row>
    <row r="158" spans="1:2" x14ac:dyDescent="0.25">
      <c r="A158">
        <v>7871</v>
      </c>
      <c r="B158" t="s">
        <v>331</v>
      </c>
    </row>
    <row r="159" spans="1:2" x14ac:dyDescent="0.25">
      <c r="A159">
        <v>8556</v>
      </c>
      <c r="B159" t="s">
        <v>333</v>
      </c>
    </row>
    <row r="160" spans="1:2" x14ac:dyDescent="0.25">
      <c r="A160">
        <v>5031</v>
      </c>
      <c r="B160" t="s">
        <v>335</v>
      </c>
    </row>
    <row r="161" spans="1:2" x14ac:dyDescent="0.25">
      <c r="A161">
        <v>2575</v>
      </c>
      <c r="B161" t="s">
        <v>337</v>
      </c>
    </row>
    <row r="162" spans="1:2" x14ac:dyDescent="0.25">
      <c r="A162">
        <v>2322</v>
      </c>
      <c r="B162" t="s">
        <v>339</v>
      </c>
    </row>
    <row r="163" spans="1:2" x14ac:dyDescent="0.25">
      <c r="A163">
        <v>9056</v>
      </c>
      <c r="B163" t="s">
        <v>341</v>
      </c>
    </row>
    <row r="164" spans="1:2" x14ac:dyDescent="0.25">
      <c r="A164">
        <v>6326</v>
      </c>
      <c r="B164" t="s">
        <v>343</v>
      </c>
    </row>
    <row r="165" spans="1:2" x14ac:dyDescent="0.25">
      <c r="A165">
        <v>8790</v>
      </c>
      <c r="B165" t="s">
        <v>345</v>
      </c>
    </row>
    <row r="166" spans="1:2" x14ac:dyDescent="0.25">
      <c r="A166">
        <v>3873</v>
      </c>
      <c r="B166" t="s">
        <v>347</v>
      </c>
    </row>
    <row r="167" spans="1:2" x14ac:dyDescent="0.25">
      <c r="A167">
        <v>3176</v>
      </c>
      <c r="B167" t="s">
        <v>349</v>
      </c>
    </row>
    <row r="168" spans="1:2" x14ac:dyDescent="0.25">
      <c r="A168">
        <v>9203</v>
      </c>
      <c r="B168" t="s">
        <v>351</v>
      </c>
    </row>
    <row r="169" spans="1:2" x14ac:dyDescent="0.25">
      <c r="A169">
        <v>9676</v>
      </c>
      <c r="B169" t="s">
        <v>353</v>
      </c>
    </row>
    <row r="170" spans="1:2" x14ac:dyDescent="0.25">
      <c r="A170">
        <v>2142</v>
      </c>
      <c r="B170" t="s">
        <v>355</v>
      </c>
    </row>
    <row r="171" spans="1:2" x14ac:dyDescent="0.25">
      <c r="A171">
        <v>4138</v>
      </c>
      <c r="B171" t="s">
        <v>357</v>
      </c>
    </row>
    <row r="172" spans="1:2" x14ac:dyDescent="0.25">
      <c r="A172">
        <v>8314</v>
      </c>
      <c r="B172" t="s">
        <v>359</v>
      </c>
    </row>
    <row r="173" spans="1:2" x14ac:dyDescent="0.25">
      <c r="A173">
        <v>9826</v>
      </c>
      <c r="B173" t="s">
        <v>361</v>
      </c>
    </row>
    <row r="174" spans="1:2" x14ac:dyDescent="0.25">
      <c r="A174">
        <v>5149</v>
      </c>
      <c r="B174" t="s">
        <v>363</v>
      </c>
    </row>
    <row r="175" spans="1:2" x14ac:dyDescent="0.25">
      <c r="A175">
        <v>9098</v>
      </c>
      <c r="B175" t="s">
        <v>365</v>
      </c>
    </row>
    <row r="176" spans="1:2" x14ac:dyDescent="0.25">
      <c r="A176">
        <v>2991</v>
      </c>
      <c r="B176" t="s">
        <v>367</v>
      </c>
    </row>
    <row r="177" spans="1:2" x14ac:dyDescent="0.25">
      <c r="A177">
        <v>6780</v>
      </c>
      <c r="B177" t="s">
        <v>369</v>
      </c>
    </row>
    <row r="178" spans="1:2" x14ac:dyDescent="0.25">
      <c r="A178">
        <v>1363</v>
      </c>
      <c r="B178" t="s">
        <v>371</v>
      </c>
    </row>
    <row r="179" spans="1:2" x14ac:dyDescent="0.25">
      <c r="A179">
        <v>6589</v>
      </c>
      <c r="B179" t="s">
        <v>373</v>
      </c>
    </row>
    <row r="180" spans="1:2" x14ac:dyDescent="0.25">
      <c r="A180">
        <v>9377</v>
      </c>
      <c r="B180" t="s">
        <v>375</v>
      </c>
    </row>
    <row r="181" spans="1:2" x14ac:dyDescent="0.25">
      <c r="A181">
        <v>2982</v>
      </c>
      <c r="B181" t="s">
        <v>377</v>
      </c>
    </row>
    <row r="182" spans="1:2" x14ac:dyDescent="0.25">
      <c r="A182">
        <v>7186</v>
      </c>
      <c r="B182" t="s">
        <v>379</v>
      </c>
    </row>
    <row r="183" spans="1:2" x14ac:dyDescent="0.25">
      <c r="A183">
        <v>4265</v>
      </c>
      <c r="B183" t="s">
        <v>381</v>
      </c>
    </row>
    <row r="184" spans="1:2" x14ac:dyDescent="0.25">
      <c r="A184">
        <v>9696</v>
      </c>
      <c r="B184" t="s">
        <v>383</v>
      </c>
    </row>
    <row r="185" spans="1:2" x14ac:dyDescent="0.25">
      <c r="A185">
        <v>8291</v>
      </c>
      <c r="B185" t="s">
        <v>385</v>
      </c>
    </row>
    <row r="186" spans="1:2" x14ac:dyDescent="0.25">
      <c r="A186">
        <v>5094</v>
      </c>
      <c r="B186" t="s">
        <v>387</v>
      </c>
    </row>
    <row r="187" spans="1:2" x14ac:dyDescent="0.25">
      <c r="A187">
        <v>7933</v>
      </c>
      <c r="B187" t="s">
        <v>389</v>
      </c>
    </row>
    <row r="188" spans="1:2" x14ac:dyDescent="0.25">
      <c r="A188">
        <v>2962</v>
      </c>
      <c r="B188" t="s">
        <v>391</v>
      </c>
    </row>
    <row r="189" spans="1:2" x14ac:dyDescent="0.25">
      <c r="A189">
        <v>7780</v>
      </c>
      <c r="B189" t="s">
        <v>393</v>
      </c>
    </row>
    <row r="190" spans="1:2" x14ac:dyDescent="0.25">
      <c r="A190">
        <v>8082</v>
      </c>
      <c r="B190" t="s">
        <v>395</v>
      </c>
    </row>
    <row r="191" spans="1:2" x14ac:dyDescent="0.25">
      <c r="A191">
        <v>7240</v>
      </c>
      <c r="B191" t="s">
        <v>397</v>
      </c>
    </row>
    <row r="192" spans="1:2" x14ac:dyDescent="0.25">
      <c r="A192">
        <v>3033</v>
      </c>
      <c r="B192" t="s">
        <v>399</v>
      </c>
    </row>
    <row r="193" spans="1:2" x14ac:dyDescent="0.25">
      <c r="A193">
        <v>2538</v>
      </c>
      <c r="B193" t="s">
        <v>401</v>
      </c>
    </row>
    <row r="194" spans="1:2" x14ac:dyDescent="0.25">
      <c r="A194">
        <v>3406</v>
      </c>
      <c r="B194" t="s">
        <v>403</v>
      </c>
    </row>
    <row r="195" spans="1:2" x14ac:dyDescent="0.25">
      <c r="A195">
        <v>5615</v>
      </c>
      <c r="B195" t="s">
        <v>405</v>
      </c>
    </row>
    <row r="196" spans="1:2" x14ac:dyDescent="0.25">
      <c r="A196">
        <v>3994</v>
      </c>
      <c r="B196" t="s">
        <v>407</v>
      </c>
    </row>
    <row r="197" spans="1:2" x14ac:dyDescent="0.25">
      <c r="A197">
        <v>3274</v>
      </c>
      <c r="B197" t="s">
        <v>409</v>
      </c>
    </row>
    <row r="198" spans="1:2" x14ac:dyDescent="0.25">
      <c r="A198">
        <v>3609</v>
      </c>
      <c r="B198" t="s">
        <v>411</v>
      </c>
    </row>
    <row r="199" spans="1:2" x14ac:dyDescent="0.25">
      <c r="A199">
        <v>9179</v>
      </c>
      <c r="B199" t="s">
        <v>413</v>
      </c>
    </row>
    <row r="200" spans="1:2" x14ac:dyDescent="0.25">
      <c r="A200">
        <v>4463</v>
      </c>
      <c r="B200" t="s">
        <v>415</v>
      </c>
    </row>
    <row r="201" spans="1:2" x14ac:dyDescent="0.25">
      <c r="A201">
        <v>6178</v>
      </c>
      <c r="B201" t="s">
        <v>417</v>
      </c>
    </row>
  </sheetData>
  <conditionalFormatting sqref="A2:B201">
    <cfRule type="expression" dxfId="1" priority="1">
      <formula>$F2&gt;=LARGE($F$2:$F$201, 10)</formula>
    </cfRule>
    <cfRule type="expression" dxfId="0" priority="2">
      <formula>"$$=$F2&gt;=LARGE($F$2:$F$201, 10)$$"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8DFE5-DD3E-4E07-925A-EAD6B5E60D46}">
  <dimension ref="B3:F35"/>
  <sheetViews>
    <sheetView showGridLines="0" showRowColHeaders="0" tabSelected="1" zoomScale="32" workbookViewId="0">
      <selection activeCell="AY16" sqref="AY16"/>
    </sheetView>
  </sheetViews>
  <sheetFormatPr defaultRowHeight="13.8" x14ac:dyDescent="0.25"/>
  <cols>
    <col min="1" max="1" width="8.796875" style="8"/>
    <col min="2" max="2" width="44.3984375" style="8" customWidth="1"/>
    <col min="3" max="16384" width="8.796875" style="8"/>
  </cols>
  <sheetData>
    <row r="3" spans="6:6" x14ac:dyDescent="0.25">
      <c r="F3" s="7"/>
    </row>
    <row r="32" spans="2:2" ht="25.2" x14ac:dyDescent="0.25">
      <c r="B32" s="9">
        <v>5001</v>
      </c>
    </row>
    <row r="35" spans="2:2" ht="25.2" x14ac:dyDescent="0.25">
      <c r="B35" s="9" t="str">
        <f>VLOOKUP(B32, Student_Record!$A:$J, 2, 0) &amp; " | GPA: " &amp; VLOOKUP(B32, Student_Record!$A:$J, 6, 0)</f>
        <v>Jasmin Pena | GPA: 3.64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Student_Record</vt:lpstr>
      <vt:lpstr>Pivot_Table</vt:lpstr>
      <vt:lpstr>VLOOKUP</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Kalsoom Ali</dc:creator>
  <cp:lastModifiedBy>s.a.sammour</cp:lastModifiedBy>
  <dcterms:created xsi:type="dcterms:W3CDTF">2026-01-14T00:50:21Z</dcterms:created>
  <dcterms:modified xsi:type="dcterms:W3CDTF">2026-01-20T00:53:47Z</dcterms:modified>
</cp:coreProperties>
</file>