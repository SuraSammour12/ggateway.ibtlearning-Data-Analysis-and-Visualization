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s\Downloads\"/>
    </mc:Choice>
  </mc:AlternateContent>
  <xr:revisionPtr revIDLastSave="0" documentId="8_{AB4A4AFB-4805-4BC3-A8A0-F2ABDA108C9F}" xr6:coauthVersionLast="47" xr6:coauthVersionMax="47" xr10:uidLastSave="{00000000-0000-0000-0000-000000000000}"/>
  <bookViews>
    <workbookView xWindow="-108" yWindow="-108" windowWidth="23256" windowHeight="12456" xr2:uid="{2DA9B2FA-6E74-4E3F-AF4A-9A6C011B254D}"/>
  </bookViews>
  <sheets>
    <sheet name="Student Record" sheetId="2" r:id="rId1"/>
    <sheet name="VLOOKUP" sheetId="1" r:id="rId2"/>
  </sheets>
  <definedNames>
    <definedName name="ExternalData_1" localSheetId="0" hidden="1">'Student Record'!$A$1:$M$251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" i="2"/>
  <c r="F2" i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3" i="2"/>
  <c r="E3" i="2" s="1"/>
  <c r="D2" i="2"/>
  <c r="E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9E18D-A468-4732-A92F-258B52FDA3A4}" keepAlive="1" name="Query - Student Record" description="Connection to the 'Student Record' query in the workbook." type="5" refreshedVersion="8" background="1" saveData="1">
    <dbPr connection="Provider=Microsoft.Mashup.OleDb.1;Data Source=$Workbook$;Location=&quot;Student Record&quot;;Extended Properties=&quot;&quot;" command="SELECT * FROM [Student Record]"/>
  </connection>
</connections>
</file>

<file path=xl/sharedStrings.xml><?xml version="1.0" encoding="utf-8"?>
<sst xmlns="http://schemas.openxmlformats.org/spreadsheetml/2006/main" count="2131" uniqueCount="875">
  <si>
    <t>First Name</t>
  </si>
  <si>
    <t>Second Name</t>
  </si>
  <si>
    <t>Last Name</t>
  </si>
  <si>
    <t>ID number</t>
  </si>
  <si>
    <t>Email address</t>
  </si>
  <si>
    <t>Degree</t>
  </si>
  <si>
    <t>Status</t>
  </si>
  <si>
    <t>Final/75</t>
  </si>
  <si>
    <t>Midterm /25</t>
  </si>
  <si>
    <t>Status_1</t>
  </si>
  <si>
    <t>Oliver</t>
  </si>
  <si>
    <t>Brown</t>
  </si>
  <si>
    <t>Whitman</t>
  </si>
  <si>
    <t>P25166697</t>
  </si>
  <si>
    <t>oliver.brown11@univ.co.uk</t>
  </si>
  <si>
    <t>Bachelor of Science with Honours Cyber Security</t>
  </si>
  <si>
    <t>Pass</t>
  </si>
  <si>
    <t>FULL TIME</t>
  </si>
  <si>
    <t>George</t>
  </si>
  <si>
    <t>Smith</t>
  </si>
  <si>
    <t>Carter</t>
  </si>
  <si>
    <t>P25140093</t>
  </si>
  <si>
    <t>george.smith23@univ.co.uk</t>
  </si>
  <si>
    <t>Pending</t>
  </si>
  <si>
    <t>Amelia</t>
  </si>
  <si>
    <t>Wilson</t>
  </si>
  <si>
    <t>Hayes</t>
  </si>
  <si>
    <t>P25136057</t>
  </si>
  <si>
    <t>amelia.wilson07@univ.co.uk</t>
  </si>
  <si>
    <t>Arthur</t>
  </si>
  <si>
    <t>Taylor</t>
  </si>
  <si>
    <t>Bennett</t>
  </si>
  <si>
    <t>P24162260</t>
  </si>
  <si>
    <t>arthur.taylor34@univ.co.uk</t>
  </si>
  <si>
    <t>Isla</t>
  </si>
  <si>
    <t>Johnson</t>
  </si>
  <si>
    <t>Reed</t>
  </si>
  <si>
    <t>P25119010</t>
  </si>
  <si>
    <t>isla.johnson18@univ.co.uk</t>
  </si>
  <si>
    <t>Harry</t>
  </si>
  <si>
    <t>Clark</t>
  </si>
  <si>
    <t>Morton</t>
  </si>
  <si>
    <t>P23156872</t>
  </si>
  <si>
    <t>harry.clark42@univ.co.uk</t>
  </si>
  <si>
    <t>Jack</t>
  </si>
  <si>
    <t>Walker</t>
  </si>
  <si>
    <t>Fraser</t>
  </si>
  <si>
    <t>P25138870</t>
  </si>
  <si>
    <t>jack.walker29@univ.co.uk</t>
  </si>
  <si>
    <t>Emily</t>
  </si>
  <si>
    <t>Hall</t>
  </si>
  <si>
    <t>Glover</t>
  </si>
  <si>
    <t>P25179157</t>
  </si>
  <si>
    <t>emily.hall16@univ.co.uk</t>
  </si>
  <si>
    <t>Thomas</t>
  </si>
  <si>
    <t>Young</t>
  </si>
  <si>
    <t>Price</t>
  </si>
  <si>
    <t>P25134461</t>
  </si>
  <si>
    <t>thomas.young37@univ.co.uk</t>
  </si>
  <si>
    <t>Sophie</t>
  </si>
  <si>
    <t>King</t>
  </si>
  <si>
    <t>Marshall</t>
  </si>
  <si>
    <t>P23163688</t>
  </si>
  <si>
    <t>sophie.king08@univ.co.uk</t>
  </si>
  <si>
    <t>Oscar</t>
  </si>
  <si>
    <t>Wright</t>
  </si>
  <si>
    <t>Dale</t>
  </si>
  <si>
    <t>P25136667</t>
  </si>
  <si>
    <t>oscar.wright24@univ.co.uk</t>
  </si>
  <si>
    <t>Leo</t>
  </si>
  <si>
    <t>Harris</t>
  </si>
  <si>
    <t>Cole</t>
  </si>
  <si>
    <t>P25159158</t>
  </si>
  <si>
    <t>leo.harris15@univ.co.uk</t>
  </si>
  <si>
    <t>Charlie</t>
  </si>
  <si>
    <t>Martin</t>
  </si>
  <si>
    <t>Quinn</t>
  </si>
  <si>
    <t>P25141724</t>
  </si>
  <si>
    <t>charlie.martin40@univ.co.uk</t>
  </si>
  <si>
    <t>Noah</t>
  </si>
  <si>
    <t>Thompson</t>
  </si>
  <si>
    <t>Blake</t>
  </si>
  <si>
    <t>P25141927</t>
  </si>
  <si>
    <t>noah.thompson19@univ.co.uk</t>
  </si>
  <si>
    <t>Lily</t>
  </si>
  <si>
    <t>Cooper</t>
  </si>
  <si>
    <t>Shaw</t>
  </si>
  <si>
    <t>P25137424</t>
  </si>
  <si>
    <t>lily.cooper33@univ.co.uk</t>
  </si>
  <si>
    <t>Ella</t>
  </si>
  <si>
    <t>Morgan</t>
  </si>
  <si>
    <t>Doyle</t>
  </si>
  <si>
    <t>P25173185</t>
  </si>
  <si>
    <t>ella.morgan27@univ.co.uk</t>
  </si>
  <si>
    <t>Ruby</t>
  </si>
  <si>
    <t>Hughes</t>
  </si>
  <si>
    <t>Palmer</t>
  </si>
  <si>
    <t>P24132543</t>
  </si>
  <si>
    <t>ruby.hughes12@univ.co.uk</t>
  </si>
  <si>
    <t>Edward</t>
  </si>
  <si>
    <t>Collins</t>
  </si>
  <si>
    <t>Nash</t>
  </si>
  <si>
    <t>P24139383</t>
  </si>
  <si>
    <t>edward.collins21@univ.co.uk</t>
  </si>
  <si>
    <t>William</t>
  </si>
  <si>
    <t>Grant</t>
  </si>
  <si>
    <t>Wyatt</t>
  </si>
  <si>
    <t>P25121429</t>
  </si>
  <si>
    <t>william.grant09@univ.co.uk</t>
  </si>
  <si>
    <t>PART TIME</t>
  </si>
  <si>
    <t>Alexander</t>
  </si>
  <si>
    <t>Fleming</t>
  </si>
  <si>
    <t>P25122388</t>
  </si>
  <si>
    <t>alexander.reed31@univ.co.uk</t>
  </si>
  <si>
    <t>Benjamin</t>
  </si>
  <si>
    <t>Ellis</t>
  </si>
  <si>
    <t>P25137253</t>
  </si>
  <si>
    <t>benjamin.price22@univ.co.uk</t>
  </si>
  <si>
    <t>Matilda</t>
  </si>
  <si>
    <t>Carr</t>
  </si>
  <si>
    <t>Lawson</t>
  </si>
  <si>
    <t>P25175735</t>
  </si>
  <si>
    <t>matilda.carr14@univ.co.uk</t>
  </si>
  <si>
    <t>Pippa</t>
  </si>
  <si>
    <t>Howard</t>
  </si>
  <si>
    <t>P25131309</t>
  </si>
  <si>
    <t>pippa.lawson35@univ.co.uk</t>
  </si>
  <si>
    <t>Daniel</t>
  </si>
  <si>
    <t>Spencer</t>
  </si>
  <si>
    <t>P24184736</t>
  </si>
  <si>
    <t>daniel.ellis06@univ.co.uk</t>
  </si>
  <si>
    <t>Joseph</t>
  </si>
  <si>
    <t>P25120260</t>
  </si>
  <si>
    <t>joseph.marshall17@univ.co.uk</t>
  </si>
  <si>
    <t>Isaac</t>
  </si>
  <si>
    <t>P25121824</t>
  </si>
  <si>
    <t>isaac.fleming28@univ.co.uk</t>
  </si>
  <si>
    <t>Jessica</t>
  </si>
  <si>
    <t>Baker</t>
  </si>
  <si>
    <t>Frost</t>
  </si>
  <si>
    <t>P25137156</t>
  </si>
  <si>
    <t>jessica.baker41@univ.co.uk</t>
  </si>
  <si>
    <t>Lucy</t>
  </si>
  <si>
    <t>Chase</t>
  </si>
  <si>
    <t>P25136549</t>
  </si>
  <si>
    <t>lucy.shaw19@univ.co.uk</t>
  </si>
  <si>
    <t>Megan</t>
  </si>
  <si>
    <t>Barrett</t>
  </si>
  <si>
    <t>P25171142</t>
  </si>
  <si>
    <t>megan.doyle30@univ.co.uk</t>
  </si>
  <si>
    <t>Sarah</t>
  </si>
  <si>
    <t>Rhodes</t>
  </si>
  <si>
    <t>P25116377</t>
  </si>
  <si>
    <t>sarah.palmer08@univ.co.uk</t>
  </si>
  <si>
    <t>Hannah</t>
  </si>
  <si>
    <t>P24117913</t>
  </si>
  <si>
    <t>hannah.barrett26@univ.co.uk</t>
  </si>
  <si>
    <t>Zoe</t>
  </si>
  <si>
    <t>Curtis</t>
  </si>
  <si>
    <t>Neale</t>
  </si>
  <si>
    <t>P25153204</t>
  </si>
  <si>
    <t>zoe.curtis34@univ.co.uk</t>
  </si>
  <si>
    <t>Beth</t>
  </si>
  <si>
    <t>P25144352</t>
  </si>
  <si>
    <t>beth.rhodes21@univ.co.uk</t>
  </si>
  <si>
    <t>Margaret</t>
  </si>
  <si>
    <t>Abbott</t>
  </si>
  <si>
    <t>P24148432</t>
  </si>
  <si>
    <t>margaret.abbot@univ.co.uk</t>
  </si>
  <si>
    <t>Florence</t>
  </si>
  <si>
    <t>Mercer</t>
  </si>
  <si>
    <t>P25125706</t>
  </si>
  <si>
    <t>florence.quinn15@univ.co.uk</t>
  </si>
  <si>
    <t>Celia</t>
  </si>
  <si>
    <t>Pope</t>
  </si>
  <si>
    <t>P24113982</t>
  </si>
  <si>
    <t>celia.abbott40@univ.co.uk</t>
  </si>
  <si>
    <t>Ian</t>
  </si>
  <si>
    <t>McKay</t>
  </si>
  <si>
    <t>Boyd</t>
  </si>
  <si>
    <t>P24188531</t>
  </si>
  <si>
    <t>ian.mckay22@univ.co.uk</t>
  </si>
  <si>
    <t>Gordon</t>
  </si>
  <si>
    <t>Poole</t>
  </si>
  <si>
    <t>P25133303</t>
  </si>
  <si>
    <t>gordon.boyd14@univ.co.uk</t>
  </si>
  <si>
    <t>Alistair</t>
  </si>
  <si>
    <t>Leigh</t>
  </si>
  <si>
    <t>Hart</t>
  </si>
  <si>
    <t>P21173369</t>
  </si>
  <si>
    <t>alistair.leigh36@univ.co.uk</t>
  </si>
  <si>
    <t>Trevor</t>
  </si>
  <si>
    <t>Mason</t>
  </si>
  <si>
    <t>P24186590</t>
  </si>
  <si>
    <t>trevor.poole07@univ.co.uk</t>
  </si>
  <si>
    <t>Adrian</t>
  </si>
  <si>
    <t>Greene</t>
  </si>
  <si>
    <t>P24184644</t>
  </si>
  <si>
    <t>adrian.hart18@univ.co.uk</t>
  </si>
  <si>
    <t>Justin</t>
  </si>
  <si>
    <t>P22146350</t>
  </si>
  <si>
    <t>justin.poole25@univ.co.uk</t>
  </si>
  <si>
    <t>Gareth</t>
  </si>
  <si>
    <t>Macdonald</t>
  </si>
  <si>
    <t>Irwin</t>
  </si>
  <si>
    <t>P25175537</t>
  </si>
  <si>
    <t>gareth.macdonald12@univ.co.uk</t>
  </si>
  <si>
    <t>Shaun</t>
  </si>
  <si>
    <t>Bradley</t>
  </si>
  <si>
    <t>P24137395</t>
  </si>
  <si>
    <t>shaun.hart32@univ.co.uk</t>
  </si>
  <si>
    <t>Colin</t>
  </si>
  <si>
    <t>Stephens</t>
  </si>
  <si>
    <t>P25187664</t>
  </si>
  <si>
    <t>colin.macdonald09@univ.co.uk</t>
  </si>
  <si>
    <t>Douglas</t>
  </si>
  <si>
    <t>Noble</t>
  </si>
  <si>
    <t>Andrews</t>
  </si>
  <si>
    <t>P25158414</t>
  </si>
  <si>
    <t>douglas.noble21@univ.co.uk</t>
  </si>
  <si>
    <t>Patrick</t>
  </si>
  <si>
    <t>P25124405</t>
  </si>
  <si>
    <t>patrick.irwin14@univ.co.uk</t>
  </si>
  <si>
    <t>Francis</t>
  </si>
  <si>
    <t>P25184572</t>
  </si>
  <si>
    <t>francis.irwin30@univ.co.uk</t>
  </si>
  <si>
    <t>P24188534</t>
  </si>
  <si>
    <t>martin.bradley19@univ.co.uk</t>
  </si>
  <si>
    <t>Julian</t>
  </si>
  <si>
    <t>P25142416</t>
  </si>
  <si>
    <t>julian.stephens08@univ.co.uk</t>
  </si>
  <si>
    <t>Christian</t>
  </si>
  <si>
    <t>P21139051</t>
  </si>
  <si>
    <t>christian.irwin27@univ.co.uk</t>
  </si>
  <si>
    <t>Anne</t>
  </si>
  <si>
    <t>P25128751</t>
  </si>
  <si>
    <t>anne.noble34@univ.co.uk</t>
  </si>
  <si>
    <t>Fiona</t>
  </si>
  <si>
    <t>P25140402</t>
  </si>
  <si>
    <t>fiona.irwin41@univ.co.uk</t>
  </si>
  <si>
    <t>Pauline</t>
  </si>
  <si>
    <t>P25121831</t>
  </si>
  <si>
    <t>pauline.bradley22@univ.co.uk</t>
  </si>
  <si>
    <t>Molly</t>
  </si>
  <si>
    <t>P24185126</t>
  </si>
  <si>
    <t>molly.stephens15@univ.co.uk</t>
  </si>
  <si>
    <t>Nancy</t>
  </si>
  <si>
    <t>P25136050</t>
  </si>
  <si>
    <t>nancy.noble40@univ.co.uk</t>
  </si>
  <si>
    <t>Robert</t>
  </si>
  <si>
    <t>Lane</t>
  </si>
  <si>
    <t>P25177807</t>
  </si>
  <si>
    <t>robert.lane17@univ.co.uk</t>
  </si>
  <si>
    <t>Stephen</t>
  </si>
  <si>
    <t>Ford</t>
  </si>
  <si>
    <t>P24187697</t>
  </si>
  <si>
    <t>stephen.ford14@univ.co.uk</t>
  </si>
  <si>
    <t>Anthony</t>
  </si>
  <si>
    <t>P25124528</t>
  </si>
  <si>
    <t>anthony.nash27@univ.co.uk</t>
  </si>
  <si>
    <t>Simon</t>
  </si>
  <si>
    <t>Burke</t>
  </si>
  <si>
    <t>P25115418</t>
  </si>
  <si>
    <t>simon.burke09@univ.co.uk</t>
  </si>
  <si>
    <t>Timothy</t>
  </si>
  <si>
    <t>P25184545</t>
  </si>
  <si>
    <t>timothy.cole31@univ.co.uk</t>
  </si>
  <si>
    <t>Nicholas</t>
  </si>
  <si>
    <t>P25141502</t>
  </si>
  <si>
    <t>nicholas.dale22@univ.co.uk</t>
  </si>
  <si>
    <t>Marcus</t>
  </si>
  <si>
    <t>Hunt</t>
  </si>
  <si>
    <t>P24168217</t>
  </si>
  <si>
    <t>marcus.hunt18@univ.co.uk</t>
  </si>
  <si>
    <t>Philip</t>
  </si>
  <si>
    <t>Lowe</t>
  </si>
  <si>
    <t>P25162769</t>
  </si>
  <si>
    <t>philip.lowe33@univ.co.uk</t>
  </si>
  <si>
    <t>Dominic</t>
  </si>
  <si>
    <t>P25155293</t>
  </si>
  <si>
    <t>dominic.wyatt07@univ.co.uk</t>
  </si>
  <si>
    <t>Jeremy</t>
  </si>
  <si>
    <t>Page</t>
  </si>
  <si>
    <t>P25132655</t>
  </si>
  <si>
    <t>jeremy.page41@univ.co.uk</t>
  </si>
  <si>
    <t>Rachel</t>
  </si>
  <si>
    <t>P25137112</t>
  </si>
  <si>
    <t>rachel.lowe15@univ.co.uk</t>
  </si>
  <si>
    <t>Rebecca</t>
  </si>
  <si>
    <t>P25137828</t>
  </si>
  <si>
    <t>rebecca.wyatt24@univ.co.uk</t>
  </si>
  <si>
    <t>Claire</t>
  </si>
  <si>
    <t>P25138104</t>
  </si>
  <si>
    <t>claire.dale30@univ.co.uk</t>
  </si>
  <si>
    <t>Louise</t>
  </si>
  <si>
    <t>P24126465</t>
  </si>
  <si>
    <t>louise.nash12@univ.co.uk</t>
  </si>
  <si>
    <t>Emma</t>
  </si>
  <si>
    <t>P25175303</t>
  </si>
  <si>
    <t>emma.cole40@univ.co.uk</t>
  </si>
  <si>
    <t>Paula</t>
  </si>
  <si>
    <t>P25137150</t>
  </si>
  <si>
    <t>paula.hunt21@univ.co.uk</t>
  </si>
  <si>
    <t>Linda</t>
  </si>
  <si>
    <t>P25191960</t>
  </si>
  <si>
    <t>linda.poole37@univ.co.uk</t>
  </si>
  <si>
    <t>Laura</t>
  </si>
  <si>
    <t>P25124100</t>
  </si>
  <si>
    <t>laura.hart19@univ.co.uk</t>
  </si>
  <si>
    <t>Ethan</t>
  </si>
  <si>
    <t>Brooks</t>
  </si>
  <si>
    <t>P24135883</t>
  </si>
  <si>
    <t>ethan.brooks08@univ.co.uk</t>
  </si>
  <si>
    <t>Logan</t>
  </si>
  <si>
    <t>P25135259</t>
  </si>
  <si>
    <t>logan.brooks26@univ.co.uk</t>
  </si>
  <si>
    <t>P25131040</t>
  </si>
  <si>
    <t>mason.brooks42@univ.co.uk</t>
  </si>
  <si>
    <t>Ava</t>
  </si>
  <si>
    <t>P24138537</t>
  </si>
  <si>
    <t>ava.brooks17@univ.co.uk</t>
  </si>
  <si>
    <t>Mia</t>
  </si>
  <si>
    <t>P24187477</t>
  </si>
  <si>
    <t>mia.brooks29@univ.co.uk</t>
  </si>
  <si>
    <t>Jacob</t>
  </si>
  <si>
    <t>P25140655</t>
  </si>
  <si>
    <t>jacob.brooks34@univ.co.uk</t>
  </si>
  <si>
    <t>Lucas</t>
  </si>
  <si>
    <t>P25123069</t>
  </si>
  <si>
    <t>lucas.brooks10@univ.co.uk</t>
  </si>
  <si>
    <t>Freya</t>
  </si>
  <si>
    <t>P19131098</t>
  </si>
  <si>
    <t>freya.brooks21@univ.co.uk</t>
  </si>
  <si>
    <t>Dylan</t>
  </si>
  <si>
    <t>P24186540</t>
  </si>
  <si>
    <t>dylan.brooks16@univ.co.uk</t>
  </si>
  <si>
    <t>Caleb</t>
  </si>
  <si>
    <t>P25126300</t>
  </si>
  <si>
    <t>caleb.brooks38@univ.co.uk</t>
  </si>
  <si>
    <t>Frederick</t>
  </si>
  <si>
    <t>P25129556</t>
  </si>
  <si>
    <t>frederick.mason12@univ.co.uk</t>
  </si>
  <si>
    <t>Theodore</t>
  </si>
  <si>
    <t>P25188968</t>
  </si>
  <si>
    <t>theodore.mason07@univ.co.uk</t>
  </si>
  <si>
    <t>Sebastian</t>
  </si>
  <si>
    <t>P25135819</t>
  </si>
  <si>
    <t>sebastian.mason30@univ.co.uk</t>
  </si>
  <si>
    <t>Eliza</t>
  </si>
  <si>
    <t>P25187661</t>
  </si>
  <si>
    <t>eliza.mason18@univ.co.uk</t>
  </si>
  <si>
    <t>Imogen</t>
  </si>
  <si>
    <t>P25183607</t>
  </si>
  <si>
    <t>imogen.mason24@univ.co.uk</t>
  </si>
  <si>
    <t>Rupert</t>
  </si>
  <si>
    <t>P25124429</t>
  </si>
  <si>
    <t>rupert.mason41@univ.co.uk</t>
  </si>
  <si>
    <t>Alfred</t>
  </si>
  <si>
    <t>P24136343</t>
  </si>
  <si>
    <t>alfred.mason09@univ.co.uk</t>
  </si>
  <si>
    <t>Beatrice</t>
  </si>
  <si>
    <t>P25138388</t>
  </si>
  <si>
    <t>beatrice.mason35@univ.co.uk</t>
  </si>
  <si>
    <t>Conrad</t>
  </si>
  <si>
    <t>P25142116</t>
  </si>
  <si>
    <t>conrad.mason27@univ.co.uk</t>
  </si>
  <si>
    <t>Dorothy</t>
  </si>
  <si>
    <t>P23158980</t>
  </si>
  <si>
    <t>dorothy.mason22@univ.co.uk</t>
  </si>
  <si>
    <t>John</t>
  </si>
  <si>
    <t>Middleton</t>
  </si>
  <si>
    <t>P25141503</t>
  </si>
  <si>
    <t>john.middleton08@univ.co.uk</t>
  </si>
  <si>
    <t>Luke</t>
  </si>
  <si>
    <t>P23138329</t>
  </si>
  <si>
    <t>luke.andrews33@univ.co.uk</t>
  </si>
  <si>
    <t>Adam</t>
  </si>
  <si>
    <t>P25137098</t>
  </si>
  <si>
    <t>adam.noble14@univ.co.uk</t>
  </si>
  <si>
    <t>Mark</t>
  </si>
  <si>
    <t>P25130576</t>
  </si>
  <si>
    <t>mark.stephens29@univ.co.uk</t>
  </si>
  <si>
    <t>Paul</t>
  </si>
  <si>
    <t>P25140054</t>
  </si>
  <si>
    <t>paul.dale21@univ.co.uk</t>
  </si>
  <si>
    <t>P24121400</t>
  </si>
  <si>
    <t>francis.irwin17@univ.co.uk</t>
  </si>
  <si>
    <t>Keith</t>
  </si>
  <si>
    <t>P24143987</t>
  </si>
  <si>
    <t>keith.macdonald34@univ.co.uk</t>
  </si>
  <si>
    <t>Stuart</t>
  </si>
  <si>
    <t>P24136497</t>
  </si>
  <si>
    <t>stuart.macdonald21@univ.co.uk</t>
  </si>
  <si>
    <t>Marion</t>
  </si>
  <si>
    <t>P25185394</t>
  </si>
  <si>
    <t>marion.macdonald40@univ.co.uk</t>
  </si>
  <si>
    <t>Elaine</t>
  </si>
  <si>
    <t>P25181081</t>
  </si>
  <si>
    <t>elaine.macdonald15@univ.co.uk</t>
  </si>
  <si>
    <t>Lewis</t>
  </si>
  <si>
    <t>P24118040</t>
  </si>
  <si>
    <t>lewis.macdonald37@univ.co.uk</t>
  </si>
  <si>
    <t>Richard</t>
  </si>
  <si>
    <t>P21143681</t>
  </si>
  <si>
    <t>richard.greene08@univ.co.uk</t>
  </si>
  <si>
    <t>Alison</t>
  </si>
  <si>
    <t>P25194475</t>
  </si>
  <si>
    <t>alison.greene26@univ.co.uk</t>
  </si>
  <si>
    <t>P25145174</t>
  </si>
  <si>
    <t>daniel.greene42@univ.co.uk</t>
  </si>
  <si>
    <t>P25126733</t>
  </si>
  <si>
    <t>megan.greene19@univ.co.uk</t>
  </si>
  <si>
    <t>P25120521</t>
  </si>
  <si>
    <t>oliver.greene31@univ.co.uk</t>
  </si>
  <si>
    <t>P25162519</t>
  </si>
  <si>
    <t>sarah.greene09@univ.co.uk</t>
  </si>
  <si>
    <t>Matthew</t>
  </si>
  <si>
    <t>P25104594</t>
  </si>
  <si>
    <t>matthew.greene24@univ.co.uk</t>
  </si>
  <si>
    <t>Eleanor</t>
  </si>
  <si>
    <t>White</t>
  </si>
  <si>
    <t>P23229773</t>
  </si>
  <si>
    <t>eleanor.white30@univ.co.uk</t>
  </si>
  <si>
    <t>Alice</t>
  </si>
  <si>
    <t>P24101551</t>
  </si>
  <si>
    <t>alice.white14@univ.co.uk</t>
  </si>
  <si>
    <t>Henry</t>
  </si>
  <si>
    <t>P23146979</t>
  </si>
  <si>
    <t>henry.white41@univ.co.uk</t>
  </si>
  <si>
    <t>P24136168</t>
  </si>
  <si>
    <t>philip.white27@univ.co.uk</t>
  </si>
  <si>
    <t>Poppy</t>
  </si>
  <si>
    <t>P25139796</t>
  </si>
  <si>
    <t>poppy.white18@univ.co.uk</t>
  </si>
  <si>
    <t>Andrew</t>
  </si>
  <si>
    <t>P23152483</t>
  </si>
  <si>
    <t>andrew.whitman22@univ.co.uk</t>
  </si>
  <si>
    <t>P25141304</t>
  </si>
  <si>
    <t>thomas.whitman33@univ.co.uk</t>
  </si>
  <si>
    <t>P25141712</t>
  </si>
  <si>
    <t>lucy.whitman15@univ.co.uk</t>
  </si>
  <si>
    <t>P25138786</t>
  </si>
  <si>
    <t>sophie.whitman08@univ.co.uk</t>
  </si>
  <si>
    <t>P25124529</t>
  </si>
  <si>
    <t>edward.whitman29@univ.co.uk</t>
  </si>
  <si>
    <t>P25122286</t>
  </si>
  <si>
    <t>emily.whitman17@univ.co.uk</t>
  </si>
  <si>
    <t>P25145038</t>
  </si>
  <si>
    <t>douglas.hayes21@univ.co.uk</t>
  </si>
  <si>
    <t>P25133581</t>
  </si>
  <si>
    <t>douglas.macdonald12@univ.co.uk</t>
  </si>
  <si>
    <t>P25178141</t>
  </si>
  <si>
    <t>stuart.greene21@univ.co.uk</t>
  </si>
  <si>
    <t>P25123052</t>
  </si>
  <si>
    <t>oliver.fraser09@univ.co.uk</t>
  </si>
  <si>
    <t>P24118198</t>
  </si>
  <si>
    <t>amelia.carter30@univ.co.uk</t>
  </si>
  <si>
    <t>P25122185</t>
  </si>
  <si>
    <t>george.morton08@univ.co.uk</t>
  </si>
  <si>
    <t>P25141857</t>
  </si>
  <si>
    <t>harry.bennett41@univ.co.uk</t>
  </si>
  <si>
    <t>P25124404</t>
  </si>
  <si>
    <t>isla.carter18@univ.co.uk</t>
  </si>
  <si>
    <t>P25141895</t>
  </si>
  <si>
    <t>thomas.blake27@univ.co.uk</t>
  </si>
  <si>
    <t>P25129726</t>
  </si>
  <si>
    <t>sophie.carter22@univ.co.uk</t>
  </si>
  <si>
    <t>P25124395</t>
  </si>
  <si>
    <t>ella.doyle09@univ.co.uk</t>
  </si>
  <si>
    <t>P25118153</t>
  </si>
  <si>
    <t>ruby.palmer29@univ.co.uk</t>
  </si>
  <si>
    <t>P25139334</t>
  </si>
  <si>
    <t>matilda.shaw21@univ.co.uk</t>
  </si>
  <si>
    <t>P22114750</t>
  </si>
  <si>
    <t>pippa.carter35@univ.co.uk</t>
  </si>
  <si>
    <t>Chloe</t>
  </si>
  <si>
    <t>P23164124</t>
  </si>
  <si>
    <t>chloe.bennett24@univ.co.uk</t>
  </si>
  <si>
    <t>Peter</t>
  </si>
  <si>
    <t>P25181562</t>
  </si>
  <si>
    <t>peter.carter31@univ.co.uk</t>
  </si>
  <si>
    <t>P25138497</t>
  </si>
  <si>
    <t>daniel.morton07@univ.co.uk</t>
  </si>
  <si>
    <t>P25140197</t>
  </si>
  <si>
    <t>megan.reed15@univ.co.uk</t>
  </si>
  <si>
    <t>P25128597</t>
  </si>
  <si>
    <t>oliver.quinn16@univ.co.uk</t>
  </si>
  <si>
    <t>P25135077</t>
  </si>
  <si>
    <t>edward.shaw33@univ.co.uk</t>
  </si>
  <si>
    <t>P25173779</t>
  </si>
  <si>
    <t>henry.mercer18@univ.co.uk</t>
  </si>
  <si>
    <t>P25131988</t>
  </si>
  <si>
    <t>poppy.quinn40@univ.co.uk</t>
  </si>
  <si>
    <t>Jonathan</t>
  </si>
  <si>
    <t>P24112756</t>
  </si>
  <si>
    <t>jonathan.white01@univ.co.uk</t>
  </si>
  <si>
    <t>Lawrence</t>
  </si>
  <si>
    <t>P25184704</t>
  </si>
  <si>
    <t>lawrence.white02@univ.co.uk</t>
  </si>
  <si>
    <t>P24136639</t>
  </si>
  <si>
    <t>simon.white03@univ.co.uk</t>
  </si>
  <si>
    <t>P25127149</t>
  </si>
  <si>
    <t>edward.white04@univ.co.uk</t>
  </si>
  <si>
    <t>Martha</t>
  </si>
  <si>
    <t>P25130843</t>
  </si>
  <si>
    <t>martha.white05@univ.co.uk</t>
  </si>
  <si>
    <t>P25135649</t>
  </si>
  <si>
    <t>jonathan.white06@univ.co.uk</t>
  </si>
  <si>
    <t>P23192414</t>
  </si>
  <si>
    <t>eleanor.white07@univ.co.uk</t>
  </si>
  <si>
    <t>P25141227</t>
  </si>
  <si>
    <t>alice.white08@univ.co.uk</t>
  </si>
  <si>
    <t>P23137193</t>
  </si>
  <si>
    <t>henry.white09@univ.co.uk</t>
  </si>
  <si>
    <t>P25133021</t>
  </si>
  <si>
    <t>poppy.white10@univ.co.uk</t>
  </si>
  <si>
    <t>P25134361</t>
  </si>
  <si>
    <t>oliver.whitman11@univ.co.uk</t>
  </si>
  <si>
    <t>P24143035</t>
  </si>
  <si>
    <t>amelia.whitman12@univ.co.uk</t>
  </si>
  <si>
    <t>P25133470</t>
  </si>
  <si>
    <t>emily.whitman13@univ.co.uk</t>
  </si>
  <si>
    <t>P25129533</t>
  </si>
  <si>
    <t>sophie.whitman14@univ.co.uk</t>
  </si>
  <si>
    <t>P24194175</t>
  </si>
  <si>
    <t>edward.whitman15@univ.co.uk</t>
  </si>
  <si>
    <t>P25139716</t>
  </si>
  <si>
    <t>daniel.whitman16@univ.co.uk</t>
  </si>
  <si>
    <t>P25145031</t>
  </si>
  <si>
    <t>lucy.whitman17@univ.co.uk</t>
  </si>
  <si>
    <t>P25142291</t>
  </si>
  <si>
    <t>oliver.carter18@univ.co.uk</t>
  </si>
  <si>
    <t>P25142433</t>
  </si>
  <si>
    <t>george.carter19@univ.co.uk</t>
  </si>
  <si>
    <t>P25183599</t>
  </si>
  <si>
    <t>harry.carter20@univ.co.uk</t>
  </si>
  <si>
    <t>P25133498</t>
  </si>
  <si>
    <t>isla.carter21@univ.co.uk</t>
  </si>
  <si>
    <t>P24120162</t>
  </si>
  <si>
    <t>thomas.carter22@univ.co.uk</t>
  </si>
  <si>
    <t>P25153009</t>
  </si>
  <si>
    <t>ella.carter23@univ.co.uk</t>
  </si>
  <si>
    <t>P25159925</t>
  </si>
  <si>
    <t>ruby.carter24@univ.co.uk</t>
  </si>
  <si>
    <t>P24189966</t>
  </si>
  <si>
    <t>matilda.carter25@univ.co.uk</t>
  </si>
  <si>
    <t>P24148245</t>
  </si>
  <si>
    <t>pippa.carter26@univ.co.uk</t>
  </si>
  <si>
    <t>P25141793</t>
  </si>
  <si>
    <t>chloe.carter27@univ.co.uk</t>
  </si>
  <si>
    <t>Aarav</t>
  </si>
  <si>
    <t>Patel</t>
  </si>
  <si>
    <t>P25178349</t>
  </si>
  <si>
    <t>aarav.patel28@univ.co.uk</t>
  </si>
  <si>
    <t>Anaya</t>
  </si>
  <si>
    <t>Kapoor</t>
  </si>
  <si>
    <t>P17116478</t>
  </si>
  <si>
    <t>anaya.kapoor29@univ.co.uk</t>
  </si>
  <si>
    <t>Arjun</t>
  </si>
  <si>
    <t>Singh</t>
  </si>
  <si>
    <t>P25134101</t>
  </si>
  <si>
    <t>arjun.singh30@univ.co.uk</t>
  </si>
  <si>
    <t>Kiara</t>
  </si>
  <si>
    <t>Mehta</t>
  </si>
  <si>
    <t>P25139745</t>
  </si>
  <si>
    <t>kiara.mehta31@univ.co.uk</t>
  </si>
  <si>
    <t>Rohan</t>
  </si>
  <si>
    <t>Iyer</t>
  </si>
  <si>
    <t>P24116234</t>
  </si>
  <si>
    <t>rohan.iyer32@univ.co.uk</t>
  </si>
  <si>
    <t>Diya</t>
  </si>
  <si>
    <t>Reddy</t>
  </si>
  <si>
    <t>P25135356</t>
  </si>
  <si>
    <t>diya.reddy33@univ.co.uk</t>
  </si>
  <si>
    <t>Neil</t>
  </si>
  <si>
    <t>Gupta</t>
  </si>
  <si>
    <t>P25183933</t>
  </si>
  <si>
    <t>neil.gupta34@univ.co.uk</t>
  </si>
  <si>
    <t>Myra</t>
  </si>
  <si>
    <t>Oberoi</t>
  </si>
  <si>
    <t>P24164515</t>
  </si>
  <si>
    <t>myra.oberoi35@univ.co.uk</t>
  </si>
  <si>
    <t>Siddharth</t>
  </si>
  <si>
    <t>Khanna</t>
  </si>
  <si>
    <t>P24115875</t>
  </si>
  <si>
    <t>siddharth.khanna36@univ.co.uk</t>
  </si>
  <si>
    <t>Kavya</t>
  </si>
  <si>
    <t>Rao</t>
  </si>
  <si>
    <t>P25139018</t>
  </si>
  <si>
    <t>kavya.rao37@univ.co.uk</t>
  </si>
  <si>
    <t>Riya</t>
  </si>
  <si>
    <t>Menon</t>
  </si>
  <si>
    <t>P25139741</t>
  </si>
  <si>
    <t>riya.menon38@univ.co.uk</t>
  </si>
  <si>
    <t>Pari</t>
  </si>
  <si>
    <t>Joshi</t>
  </si>
  <si>
    <t>P23136359</t>
  </si>
  <si>
    <t>pari.joshi39@univ.co.uk</t>
  </si>
  <si>
    <t>Dhruv</t>
  </si>
  <si>
    <t>Sharma</t>
  </si>
  <si>
    <t>P23166726</t>
  </si>
  <si>
    <t>dhruv.sharma21@univ.co.uk</t>
  </si>
  <si>
    <t>Aditi</t>
  </si>
  <si>
    <t>P24138970</t>
  </si>
  <si>
    <t>aditi.mehta34@univ.co.uk</t>
  </si>
  <si>
    <t>Suhana</t>
  </si>
  <si>
    <t>Das</t>
  </si>
  <si>
    <t>P25131482</t>
  </si>
  <si>
    <t>suhana.das17@univ.co.uk</t>
  </si>
  <si>
    <t>Tanvi</t>
  </si>
  <si>
    <t>Seth</t>
  </si>
  <si>
    <t>P23169368</t>
  </si>
  <si>
    <t>tanvi.seth09@univ.co.uk</t>
  </si>
  <si>
    <t>Prisha</t>
  </si>
  <si>
    <t>Guha</t>
  </si>
  <si>
    <t>P25133898</t>
  </si>
  <si>
    <t>prisha.guha41@univ.co.uk</t>
  </si>
  <si>
    <t>Varun</t>
  </si>
  <si>
    <t>Pillai</t>
  </si>
  <si>
    <t>P25163912</t>
  </si>
  <si>
    <t>varun.pillai22@univ.co.uk</t>
  </si>
  <si>
    <t>Ashwin</t>
  </si>
  <si>
    <t>Kannan</t>
  </si>
  <si>
    <t>P25145360</t>
  </si>
  <si>
    <t>ashwin.kannan15@univ.co.uk</t>
  </si>
  <si>
    <t>Meera</t>
  </si>
  <si>
    <t>Kulkarni</t>
  </si>
  <si>
    <t>P25130037</t>
  </si>
  <si>
    <t>meera.kulkarni33@univ.co.uk</t>
  </si>
  <si>
    <t>Austin</t>
  </si>
  <si>
    <t>Fernandes</t>
  </si>
  <si>
    <t>P25133298</t>
  </si>
  <si>
    <t>austin.fernandes08@univ.co.uk</t>
  </si>
  <si>
    <t>Maria</t>
  </si>
  <si>
    <t>P24167938</t>
  </si>
  <si>
    <t>maria.fernandes29@univ.co.uk</t>
  </si>
  <si>
    <t>Rahul</t>
  </si>
  <si>
    <t>P25133456</t>
  </si>
  <si>
    <t>rahul.fernandes11@univ.co.uk</t>
  </si>
  <si>
    <t>Sonia</t>
  </si>
  <si>
    <t>P25134401</t>
  </si>
  <si>
    <t>sonia.fernandes35@univ.co.uk</t>
  </si>
  <si>
    <t>Ryan</t>
  </si>
  <si>
    <t>P24174415</t>
  </si>
  <si>
    <t>ryan.fernandes42@univ.co.uk</t>
  </si>
  <si>
    <t>Priyanka</t>
  </si>
  <si>
    <t>P25181026</t>
  </si>
  <si>
    <t>priyanka.fernandes18@univ.co.uk</t>
  </si>
  <si>
    <t>Nisha</t>
  </si>
  <si>
    <t>P25109228</t>
  </si>
  <si>
    <t>nisha.fernandes23@univ.co.uk</t>
  </si>
  <si>
    <t>Kevin</t>
  </si>
  <si>
    <t>P24118234</t>
  </si>
  <si>
    <t>kevin.fernandes31@univ.co.uk</t>
  </si>
  <si>
    <t>P24147987</t>
  </si>
  <si>
    <t>maria.fernandes44@univ.co.uk</t>
  </si>
  <si>
    <t>P25124394</t>
  </si>
  <si>
    <t>ethan.brown06@univ.co.uk</t>
  </si>
  <si>
    <t>P25139317</t>
  </si>
  <si>
    <t>ava.smith27@univ.co.uk</t>
  </si>
  <si>
    <t>P25124745</t>
  </si>
  <si>
    <t>jacob.wilson14@univ.co.uk</t>
  </si>
  <si>
    <t>P25130461</t>
  </si>
  <si>
    <t>mia.carter19@univ.co.uk</t>
  </si>
  <si>
    <t>P25137565</t>
  </si>
  <si>
    <t>lucas.morton32@univ.co.uk</t>
  </si>
  <si>
    <t>P25115464</t>
  </si>
  <si>
    <t>Column1</t>
  </si>
  <si>
    <t>Full Name</t>
  </si>
  <si>
    <t>ID</t>
  </si>
  <si>
    <t>Oliver Brown Whitman</t>
  </si>
  <si>
    <t>George Smith Carter</t>
  </si>
  <si>
    <t>Amelia Wilson Hayes</t>
  </si>
  <si>
    <t>Arthur Taylor Bennett</t>
  </si>
  <si>
    <t>Isla Johnson Reed</t>
  </si>
  <si>
    <t>Harry Clark Morton</t>
  </si>
  <si>
    <t>Jack Walker Fraser</t>
  </si>
  <si>
    <t>Emily Hall Glover</t>
  </si>
  <si>
    <t>Thomas Young Price</t>
  </si>
  <si>
    <t>Sophie King Marshall</t>
  </si>
  <si>
    <t>Oscar Wright Dale</t>
  </si>
  <si>
    <t>Leo Harris Cole</t>
  </si>
  <si>
    <t>Charlie Martin Quinn</t>
  </si>
  <si>
    <t>Noah Thompson Blake</t>
  </si>
  <si>
    <t>Lily Cooper Shaw</t>
  </si>
  <si>
    <t>Ella Morgan Doyle</t>
  </si>
  <si>
    <t>Ruby Hughes Palmer</t>
  </si>
  <si>
    <t>Edward Collins Nash</t>
  </si>
  <si>
    <t>William Grant Wyatt</t>
  </si>
  <si>
    <t>Alexander Reed Fleming</t>
  </si>
  <si>
    <t>Benjamin Price Ellis</t>
  </si>
  <si>
    <t>Matilda Carr Lawson</t>
  </si>
  <si>
    <t>Pippa Lawson Howard</t>
  </si>
  <si>
    <t>Daniel Ellis Spencer</t>
  </si>
  <si>
    <t>Joseph Marshall Grant</t>
  </si>
  <si>
    <t>Isaac Fleming Reed</t>
  </si>
  <si>
    <t>Jessica Baker Frost</t>
  </si>
  <si>
    <t>Lucy Shaw Chase</t>
  </si>
  <si>
    <t>Megan Doyle Barrett</t>
  </si>
  <si>
    <t>Sarah Palmer Rhodes</t>
  </si>
  <si>
    <t>Hannah Barrett Carr</t>
  </si>
  <si>
    <t>Zoe Curtis Neale</t>
  </si>
  <si>
    <t>Beth Rhodes Quinn</t>
  </si>
  <si>
    <t>Margaret Neale Abbott</t>
  </si>
  <si>
    <t>Florence Quinn Mercer</t>
  </si>
  <si>
    <t>Celia Abbott Pope</t>
  </si>
  <si>
    <t>Ian McKay Boyd</t>
  </si>
  <si>
    <t>Gordon Boyd Poole</t>
  </si>
  <si>
    <t>Alistair Leigh Hart</t>
  </si>
  <si>
    <t>Trevor Poole Mason</t>
  </si>
  <si>
    <t>Adrian Hart Greene</t>
  </si>
  <si>
    <t>Justin Poole Blake</t>
  </si>
  <si>
    <t>Gareth Macdonald Irwin</t>
  </si>
  <si>
    <t>Shaun Hart Bradley</t>
  </si>
  <si>
    <t>Colin Macdonald Stephens</t>
  </si>
  <si>
    <t>Douglas Noble Andrews</t>
  </si>
  <si>
    <t>Patrick Irwin Noble</t>
  </si>
  <si>
    <t>Francis Irwin Dale</t>
  </si>
  <si>
    <t>Martin Bradley Carter</t>
  </si>
  <si>
    <t>Julian Stephens Hayes</t>
  </si>
  <si>
    <t>Christian Irwin Glover</t>
  </si>
  <si>
    <t>Anne Noble Mercer</t>
  </si>
  <si>
    <t>Fiona Irwin Quinn</t>
  </si>
  <si>
    <t>Pauline Bradley Doyle</t>
  </si>
  <si>
    <t>Molly Stephens Blake</t>
  </si>
  <si>
    <t>Nancy Noble Shaw</t>
  </si>
  <si>
    <t>Robert Lane Nash</t>
  </si>
  <si>
    <t>Stephen Ford Dale</t>
  </si>
  <si>
    <t>Anthony Nash Cole</t>
  </si>
  <si>
    <t>Simon Burke Quinn</t>
  </si>
  <si>
    <t>Timothy Cole Morton</t>
  </si>
  <si>
    <t>Nicholas Dale Spencer</t>
  </si>
  <si>
    <t>Marcus Hunt Fleming</t>
  </si>
  <si>
    <t>Philip Lowe Marshall</t>
  </si>
  <si>
    <t>Dominic Wyatt Price</t>
  </si>
  <si>
    <t>Jeremy Page Reed</t>
  </si>
  <si>
    <t>Rachel Lowe Frost</t>
  </si>
  <si>
    <t>Rebecca Wyatt Chase</t>
  </si>
  <si>
    <t>Claire Dale Barrett</t>
  </si>
  <si>
    <t>Louise Nash Rhodes</t>
  </si>
  <si>
    <t>Emma Cole Carr</t>
  </si>
  <si>
    <t>Paula Hunt Neale</t>
  </si>
  <si>
    <t>Linda Poole Mercer</t>
  </si>
  <si>
    <t>Laura Hart Quinn</t>
  </si>
  <si>
    <t>Ethan Brooks Carter</t>
  </si>
  <si>
    <t>Logan Brooks Dale</t>
  </si>
  <si>
    <t>Mason Brooks Hayes</t>
  </si>
  <si>
    <t>Ava Brooks Shaw</t>
  </si>
  <si>
    <t>Mia Brooks Quinn</t>
  </si>
  <si>
    <t>Jacob Brooks Blake</t>
  </si>
  <si>
    <t>Lucas Brooks Glover</t>
  </si>
  <si>
    <t>Freya Brooks Mercer</t>
  </si>
  <si>
    <t>Dylan Brooks Nash</t>
  </si>
  <si>
    <t>Caleb Brooks Morton</t>
  </si>
  <si>
    <t>Frederick Mason Whitman</t>
  </si>
  <si>
    <t>Theodore Mason Carter</t>
  </si>
  <si>
    <t>Sebastian Mason Reed</t>
  </si>
  <si>
    <t>Eliza Mason Hayes</t>
  </si>
  <si>
    <t>Imogen Mason Dale</t>
  </si>
  <si>
    <t>Rupert Mason Spencer</t>
  </si>
  <si>
    <t>Alfred Mason Grant</t>
  </si>
  <si>
    <t>Beatrice Mason Mercer</t>
  </si>
  <si>
    <t>Conrad Mason Blake</t>
  </si>
  <si>
    <t>Dorothy Mason Quinn</t>
  </si>
  <si>
    <t>John Middleton Carter</t>
  </si>
  <si>
    <t>Luke Andrews Bennett</t>
  </si>
  <si>
    <t>Adam Noble Reed</t>
  </si>
  <si>
    <t>Mark Stephens Hayes</t>
  </si>
  <si>
    <t>Paul Bradley Dale</t>
  </si>
  <si>
    <t>Francis Irwin Spencer</t>
  </si>
  <si>
    <t>Keith Macdonald Grant</t>
  </si>
  <si>
    <t>Stuart Macdonald Mercer</t>
  </si>
  <si>
    <t>Marion Macdonald Quinn</t>
  </si>
  <si>
    <t>Elaine Macdonald Blake</t>
  </si>
  <si>
    <t>Lewis Macdonald Morton</t>
  </si>
  <si>
    <t>Richard Greene Carter</t>
  </si>
  <si>
    <t>Alison Greene Shaw</t>
  </si>
  <si>
    <t>Daniel Greene Dale</t>
  </si>
  <si>
    <t>Megan Greene Hayes</t>
  </si>
  <si>
    <t>Oliver Greene Quinn</t>
  </si>
  <si>
    <t>Sarah Greene Mercer</t>
  </si>
  <si>
    <t>Matthew Greene Blake</t>
  </si>
  <si>
    <t>Eleanor White Carter</t>
  </si>
  <si>
    <t>Alice White Hayes</t>
  </si>
  <si>
    <t>Henry White Dale</t>
  </si>
  <si>
    <t>Philip White Spencer</t>
  </si>
  <si>
    <t>Poppy White Quinn</t>
  </si>
  <si>
    <t>Andrew Whitman Carter</t>
  </si>
  <si>
    <t>Thomas Whitman Bennett</t>
  </si>
  <si>
    <t>Lucy Whitman Hayes</t>
  </si>
  <si>
    <t>Sophie Whitman Mercer</t>
  </si>
  <si>
    <t>Edward Whitman Quinn</t>
  </si>
  <si>
    <t>Emily Whitman Dale</t>
  </si>
  <si>
    <t>Colin Macdonald Carter</t>
  </si>
  <si>
    <t>Douglas Macdonald Hayes</t>
  </si>
  <si>
    <t>Stuart Greene Spencer</t>
  </si>
  <si>
    <t>Oliver Fraser Reed</t>
  </si>
  <si>
    <t>Amelia Carter Dale</t>
  </si>
  <si>
    <t>George Morton Quinn</t>
  </si>
  <si>
    <t>Harry Bennett Glover</t>
  </si>
  <si>
    <t>Isla Spencer Hayes</t>
  </si>
  <si>
    <t>Thomas Blake Mercer</t>
  </si>
  <si>
    <t>Sophie Reed Carter</t>
  </si>
  <si>
    <t>Ella Doyle Quinn</t>
  </si>
  <si>
    <t>Ruby Palmer Hayes</t>
  </si>
  <si>
    <t>Matilda Shaw Carter</t>
  </si>
  <si>
    <t>Pippa Howard Mercer</t>
  </si>
  <si>
    <t>Chloe Bennett Quinn</t>
  </si>
  <si>
    <t>Peter Carter Dale</t>
  </si>
  <si>
    <t>Daniel Morton Spencer</t>
  </si>
  <si>
    <t>Megan Reed Hayes</t>
  </si>
  <si>
    <t>Oliver Hayes Quinn</t>
  </si>
  <si>
    <t>Edward Shaw Carter</t>
  </si>
  <si>
    <t>Henry Mercer Dale</t>
  </si>
  <si>
    <t>Poppy Quinn Hayes</t>
  </si>
  <si>
    <t>Jonathan White Spencer</t>
  </si>
  <si>
    <t>Lawrence White Mercer</t>
  </si>
  <si>
    <t>Simon White Carter</t>
  </si>
  <si>
    <t>Edward White Dale</t>
  </si>
  <si>
    <t>Martha White Quinn</t>
  </si>
  <si>
    <t>Jonathan White Hayes</t>
  </si>
  <si>
    <t>Alice White Mercer</t>
  </si>
  <si>
    <t>Oliver Whitman Carter</t>
  </si>
  <si>
    <t>Amelia Whitman Hayes</t>
  </si>
  <si>
    <t>Emily Whitman Spencer</t>
  </si>
  <si>
    <t>Sophie Whitman Dale</t>
  </si>
  <si>
    <t>Edward Whitman Mercer</t>
  </si>
  <si>
    <t>Daniel Whitman Carter</t>
  </si>
  <si>
    <t>Oliver Carter Dale</t>
  </si>
  <si>
    <t>George Carter Quinn</t>
  </si>
  <si>
    <t>Harry Carter Hayes</t>
  </si>
  <si>
    <t>Isla Carter Spencer</t>
  </si>
  <si>
    <t>Thomas Carter Mercer</t>
  </si>
  <si>
    <t>Ella Carter Dale</t>
  </si>
  <si>
    <t>Ruby Carter Quinn</t>
  </si>
  <si>
    <t>Matilda Carter Hayes</t>
  </si>
  <si>
    <t>Pippa Carter Spencer</t>
  </si>
  <si>
    <t>Chloe Carter Mercer</t>
  </si>
  <si>
    <t>Aarav Patel Carter</t>
  </si>
  <si>
    <t>Anaya Kapoor Hayes</t>
  </si>
  <si>
    <t>Arjun Singh Dale</t>
  </si>
  <si>
    <t>Kiara Mehta Spencer</t>
  </si>
  <si>
    <t>Rohan Iyer Quinn</t>
  </si>
  <si>
    <t>Diya Reddy Mercer</t>
  </si>
  <si>
    <t>Neil Gupta Carter</t>
  </si>
  <si>
    <t>Myra Oberoi Hayes</t>
  </si>
  <si>
    <t>Siddharth Khanna Dale</t>
  </si>
  <si>
    <t>Kavya Rao Spencer</t>
  </si>
  <si>
    <t>Riya Menon Quinn</t>
  </si>
  <si>
    <t>Pari Joshi Mercer</t>
  </si>
  <si>
    <t>Dhruv Sharma Carter</t>
  </si>
  <si>
    <t>Aditi Mehta Hayes</t>
  </si>
  <si>
    <t>Suhana Das Dale</t>
  </si>
  <si>
    <t>Tanvi Seth Spencer</t>
  </si>
  <si>
    <t>Prisha Guha Quinn</t>
  </si>
  <si>
    <t>Varun Pillai Mercer</t>
  </si>
  <si>
    <t>Ashwin Kannan Carter</t>
  </si>
  <si>
    <t>Meera Kulkarni Hayes</t>
  </si>
  <si>
    <t>Austin Fernandes Dale</t>
  </si>
  <si>
    <t>Maria Fernandes Spencer</t>
  </si>
  <si>
    <t>Rahul Fernandes Quinn</t>
  </si>
  <si>
    <t>Sonia Fernandes Mercer</t>
  </si>
  <si>
    <t>Ryan Fernandes Carter</t>
  </si>
  <si>
    <t>Priyanka Fernandes Hayes</t>
  </si>
  <si>
    <t>Nisha Fernandes Dale</t>
  </si>
  <si>
    <t>Kevin Fernandes Spencer</t>
  </si>
  <si>
    <t>Maria Fernandes Quinn</t>
  </si>
  <si>
    <t>Ethan Brown Carter</t>
  </si>
  <si>
    <t>Ava Smith Hayes</t>
  </si>
  <si>
    <t>Jacob Wilson Dale</t>
  </si>
  <si>
    <t>Mia Carter Spencer</t>
  </si>
  <si>
    <t>Lucas Morton Quinn</t>
  </si>
  <si>
    <t>Freya Bennett Mercer</t>
  </si>
  <si>
    <t xml:space="preserve">  </t>
  </si>
  <si>
    <t>Total Mark/100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</si>
</sst>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893327-539F-4281-9381-DE922944DE1F}" autoFormatId="16" applyNumberFormats="0" applyBorderFormats="0" applyFontFormats="0" applyPatternFormats="0" applyAlignmentFormats="0" applyWidthHeightFormats="0">
  <queryTableRefresh nextId="48">
    <queryTableFields count="13">
      <queryTableField id="1" name="First Name" tableColumnId="1"/>
      <queryTableField id="2" name="Second Name" tableColumnId="2"/>
      <queryTableField id="3" name="Last Name" tableColumnId="3"/>
      <queryTableField id="45" dataBound="0" tableColumnId="45"/>
      <queryTableField id="46" dataBound="0" tableColumnId="46"/>
      <queryTableField id="4" name="ID number" tableColumnId="4"/>
      <queryTableField id="5" name="Email address" tableColumnId="5"/>
      <queryTableField id="6" name="Degree" tableColumnId="6"/>
      <queryTableField id="7" name="Status" tableColumnId="7"/>
      <queryTableField id="8" name="Final/75" tableColumnId="8"/>
      <queryTableField id="9" name="Midterm /25" tableColumnId="9"/>
      <queryTableField id="47" dataBound="0" tableColumnId="47"/>
      <queryTableField id="10" name="Status_1" tableColumnId="10"/>
    </queryTableFields>
    <queryTableDeletedFields count="25">
      <deletedField name="Midterm Q. 1 /1.00"/>
      <deletedField name="Midterm Q. 2 /1.00"/>
      <deletedField name="Midterm Q. 3 /1.00"/>
      <deletedField name="Midterm Q. 4 /1.00"/>
      <deletedField name="Midterm Q. 5 /1.00"/>
      <deletedField name="Midterm Q. 6 /1.00"/>
      <deletedField name="Midterm Q. 7 /1.00"/>
      <deletedField name="Midterm Q. 8 /1.00"/>
      <deletedField name="Midterm Q. 9 /1.00"/>
      <deletedField name="Midterm Q. 10 /1.00"/>
      <deletedField name="Midterm Q. 11 /1.00"/>
      <deletedField name="Midterm Q. 12 /1.00"/>
      <deletedField name="Midterm Q. 13 /1.00"/>
      <deletedField name="Midterm Q. 14 /1.00"/>
      <deletedField name="Midterm Q. 15 /1.00"/>
      <deletedField name="Midterm Q. 16 /1.00"/>
      <deletedField name="Midterm Q. 17 /1.00"/>
      <deletedField name="Midterm Q. 18 /1.00"/>
      <deletedField name="Midterm Q. 19 /1.00"/>
      <deletedField name="Midterm Q. 20 /1.00"/>
      <deletedField name="Midterm Q. 21 /1.00"/>
      <deletedField name="Midterm Q. 22 /1.00"/>
      <deletedField name="Midterm Q. 23 /1.00"/>
      <deletedField name="Midterm Q. 24 /1.00"/>
      <deletedField name="Midterm Q. 25 /1.0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8FD2C-67C0-460A-98D3-C495FC729D06}" name="Student_Record" displayName="Student_Record" ref="A1:M251" tableType="queryTable">
  <autoFilter ref="A1:M251" xr:uid="{EB18FD2C-67C0-460A-98D3-C495FC729D06}"/>
  <tableColumns count="13">
    <tableColumn id="1" xr3:uid="{4253CD29-6999-42D8-B08A-1784DA488AC1}" uniqueName="1" name="First Name" totalsRowLabel="Total" queryTableFieldId="1" dataDxfId="24"/>
    <tableColumn id="2" xr3:uid="{4A51D1D7-7FE1-40B0-B6E9-9ACE98DB7542}" uniqueName="2" name="Second Name" queryTableFieldId="2" dataDxfId="23"/>
    <tableColumn id="3" xr3:uid="{3F7B33C1-E474-4606-A674-F634EB9E53F7}" uniqueName="3" name="Last Name" queryTableFieldId="3" dataDxfId="22"/>
    <tableColumn id="45" xr3:uid="{DF29588F-B107-42AC-8AAF-91C7E3C9D156}" uniqueName="45" name="Full Name" queryTableFieldId="45" dataDxfId="16"/>
    <tableColumn id="46" xr3:uid="{1D76B42C-4436-4BDD-9ED1-75D69F48E79A}" uniqueName="46" name="Column1" queryTableFieldId="46" dataDxfId="5">
      <calculatedColumnFormula>UPPER(D2)</calculatedColumnFormula>
    </tableColumn>
    <tableColumn id="4" xr3:uid="{8AD7863F-A000-4F21-8D0B-B234D610C4D7}" uniqueName="4" name="ID number" queryTableFieldId="4" dataDxfId="21"/>
    <tableColumn id="5" xr3:uid="{E288A779-F7A9-45C9-9CE1-DD428817180E}" uniqueName="5" name="Email address" queryTableFieldId="5" dataDxfId="20"/>
    <tableColumn id="6" xr3:uid="{D1CF8510-BFE9-4651-8338-EB7A9DD07855}" uniqueName="6" name="Degree" queryTableFieldId="6" dataDxfId="19"/>
    <tableColumn id="7" xr3:uid="{DD3803E4-CFFA-4A34-A4EE-54BB4905918A}" uniqueName="7" name="Status" queryTableFieldId="7" dataDxfId="18"/>
    <tableColumn id="8" xr3:uid="{6792202E-B1AE-4D43-90B0-25AA1E4E40EE}" uniqueName="8" name="Final/75" queryTableFieldId="8"/>
    <tableColumn id="9" xr3:uid="{0CEE0057-F0E3-4189-8B45-F61F383F0001}" uniqueName="9" name="Midterm /25" queryTableFieldId="9"/>
    <tableColumn id="47" xr3:uid="{BC38B9DC-929F-42F6-B79E-A9E21B5CD59B}" uniqueName="47" name="Total Mark/100" queryTableFieldId="47">
      <calculatedColumnFormula>SUM(J2,K2)</calculatedColumnFormula>
    </tableColumn>
    <tableColumn id="10" xr3:uid="{E3E6AF19-0469-4D58-A25D-90A22FB5BA65}" uniqueName="10" name="Status_1" queryTableFieldId="10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1ADC-1AA4-4780-97E7-5ECA82CF573A}">
  <dimension ref="A1:M251"/>
  <sheetViews>
    <sheetView tabSelected="1" topLeftCell="G1" workbookViewId="0">
      <pane ySplit="1" topLeftCell="A2" activePane="bottomLeft" state="frozen"/>
      <selection activeCell="D1" sqref="D1"/>
      <selection pane="bottomLeft" activeCell="L2" sqref="L2:L251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12" bestFit="1" customWidth="1"/>
    <col min="4" max="5" width="22.88671875" customWidth="1"/>
    <col min="6" max="6" width="11.77734375" bestFit="1" customWidth="1"/>
    <col min="7" max="7" width="29.109375" bestFit="1" customWidth="1"/>
    <col min="8" max="8" width="40.33203125" bestFit="1" customWidth="1"/>
    <col min="9" max="9" width="8.5546875" bestFit="1" customWidth="1"/>
    <col min="10" max="10" width="10" bestFit="1" customWidth="1"/>
    <col min="11" max="11" width="13.33203125" bestFit="1" customWidth="1"/>
    <col min="12" max="12" width="17.33203125" customWidth="1"/>
    <col min="13" max="13" width="10.21875" customWidth="1"/>
    <col min="14" max="14" width="5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668</v>
      </c>
      <c r="E1" t="s">
        <v>667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874</v>
      </c>
      <c r="M1" t="s">
        <v>9</v>
      </c>
    </row>
    <row r="2" spans="1:13" x14ac:dyDescent="0.3">
      <c r="A2" s="1" t="s">
        <v>10</v>
      </c>
      <c r="B2" s="1" t="s">
        <v>11</v>
      </c>
      <c r="C2" s="1" t="s">
        <v>12</v>
      </c>
      <c r="D2" s="1" t="str">
        <f>CONCATENATE(A2," ",B2," ",C2)</f>
        <v>Oliver Brown Whitman</v>
      </c>
      <c r="E2" s="1" t="str">
        <f>UPPER(D2)</f>
        <v>OLIVER BROWN WHITMAN</v>
      </c>
      <c r="F2" s="1" t="s">
        <v>13</v>
      </c>
      <c r="G2" s="1" t="s">
        <v>14</v>
      </c>
      <c r="H2" s="1" t="s">
        <v>15</v>
      </c>
      <c r="I2" s="1" t="s">
        <v>16</v>
      </c>
      <c r="J2">
        <v>53</v>
      </c>
      <c r="K2">
        <v>23</v>
      </c>
      <c r="L2">
        <f>SUM(J2,K2)</f>
        <v>76</v>
      </c>
      <c r="M2" s="1" t="s">
        <v>17</v>
      </c>
    </row>
    <row r="3" spans="1:13" x14ac:dyDescent="0.3">
      <c r="A3" s="1" t="s">
        <v>18</v>
      </c>
      <c r="B3" s="1" t="s">
        <v>19</v>
      </c>
      <c r="C3" s="1" t="s">
        <v>20</v>
      </c>
      <c r="D3" s="1" t="str">
        <f>CONCATENATE(A3," ",B3," ",C3)</f>
        <v>George Smith Carter</v>
      </c>
      <c r="E3" s="1" t="str">
        <f t="shared" ref="E3:E66" si="0">UPPER(D3)</f>
        <v>GEORGE SMITH CARTER</v>
      </c>
      <c r="F3" s="1" t="s">
        <v>21</v>
      </c>
      <c r="G3" s="1" t="s">
        <v>22</v>
      </c>
      <c r="H3" s="1" t="s">
        <v>15</v>
      </c>
      <c r="I3" s="1" t="s">
        <v>23</v>
      </c>
      <c r="J3">
        <v>46</v>
      </c>
      <c r="K3">
        <v>0</v>
      </c>
      <c r="L3">
        <f t="shared" ref="L3:L66" si="1">SUM(J3,K3)</f>
        <v>46</v>
      </c>
      <c r="M3" s="1" t="s">
        <v>17</v>
      </c>
    </row>
    <row r="4" spans="1:13" x14ac:dyDescent="0.3">
      <c r="A4" s="1" t="s">
        <v>24</v>
      </c>
      <c r="B4" s="1" t="s">
        <v>25</v>
      </c>
      <c r="C4" s="1" t="s">
        <v>26</v>
      </c>
      <c r="D4" s="1" t="str">
        <f t="shared" ref="D4:D67" si="2">CONCATENATE(A4," ",B4," ",C4)</f>
        <v>Amelia Wilson Hayes</v>
      </c>
      <c r="E4" s="1" t="str">
        <f t="shared" si="0"/>
        <v>AMELIA WILSON HAYES</v>
      </c>
      <c r="F4" s="1" t="s">
        <v>27</v>
      </c>
      <c r="G4" s="1" t="s">
        <v>28</v>
      </c>
      <c r="H4" s="1" t="s">
        <v>15</v>
      </c>
      <c r="I4" s="1" t="s">
        <v>16</v>
      </c>
      <c r="J4">
        <v>40</v>
      </c>
      <c r="K4">
        <v>23</v>
      </c>
      <c r="L4">
        <f t="shared" si="1"/>
        <v>63</v>
      </c>
      <c r="M4" s="1" t="s">
        <v>17</v>
      </c>
    </row>
    <row r="5" spans="1:13" x14ac:dyDescent="0.3">
      <c r="A5" s="1" t="s">
        <v>29</v>
      </c>
      <c r="B5" s="1" t="s">
        <v>30</v>
      </c>
      <c r="C5" s="1" t="s">
        <v>31</v>
      </c>
      <c r="D5" s="1" t="str">
        <f t="shared" si="2"/>
        <v>Arthur Taylor Bennett</v>
      </c>
      <c r="E5" s="1" t="str">
        <f t="shared" si="0"/>
        <v>ARTHUR TAYLOR BENNETT</v>
      </c>
      <c r="F5" s="1" t="s">
        <v>32</v>
      </c>
      <c r="G5" s="1" t="s">
        <v>33</v>
      </c>
      <c r="H5" s="1" t="s">
        <v>15</v>
      </c>
      <c r="I5" s="1" t="s">
        <v>16</v>
      </c>
      <c r="J5">
        <v>61</v>
      </c>
      <c r="K5">
        <v>16</v>
      </c>
      <c r="L5">
        <f t="shared" si="1"/>
        <v>77</v>
      </c>
      <c r="M5" s="1" t="s">
        <v>17</v>
      </c>
    </row>
    <row r="6" spans="1:13" x14ac:dyDescent="0.3">
      <c r="A6" s="1" t="s">
        <v>34</v>
      </c>
      <c r="B6" s="1" t="s">
        <v>35</v>
      </c>
      <c r="C6" s="1" t="s">
        <v>36</v>
      </c>
      <c r="D6" s="1" t="str">
        <f t="shared" si="2"/>
        <v>Isla Johnson Reed</v>
      </c>
      <c r="E6" s="1" t="str">
        <f t="shared" si="0"/>
        <v>ISLA JOHNSON REED</v>
      </c>
      <c r="F6" s="1" t="s">
        <v>37</v>
      </c>
      <c r="G6" s="1" t="s">
        <v>38</v>
      </c>
      <c r="H6" s="1" t="s">
        <v>15</v>
      </c>
      <c r="I6" s="1" t="s">
        <v>16</v>
      </c>
      <c r="J6">
        <v>46</v>
      </c>
      <c r="K6">
        <v>25</v>
      </c>
      <c r="L6">
        <f t="shared" si="1"/>
        <v>71</v>
      </c>
      <c r="M6" s="1" t="s">
        <v>17</v>
      </c>
    </row>
    <row r="7" spans="1:13" x14ac:dyDescent="0.3">
      <c r="A7" s="1" t="s">
        <v>39</v>
      </c>
      <c r="B7" s="1" t="s">
        <v>40</v>
      </c>
      <c r="C7" s="1" t="s">
        <v>41</v>
      </c>
      <c r="D7" s="1" t="str">
        <f t="shared" si="2"/>
        <v>Harry Clark Morton</v>
      </c>
      <c r="E7" s="1" t="str">
        <f t="shared" si="0"/>
        <v>HARRY CLARK MORTON</v>
      </c>
      <c r="F7" s="1" t="s">
        <v>42</v>
      </c>
      <c r="G7" s="1" t="s">
        <v>43</v>
      </c>
      <c r="H7" s="1" t="s">
        <v>15</v>
      </c>
      <c r="I7" s="1" t="s">
        <v>16</v>
      </c>
      <c r="J7">
        <v>37</v>
      </c>
      <c r="K7">
        <v>19</v>
      </c>
      <c r="L7">
        <f t="shared" si="1"/>
        <v>56</v>
      </c>
      <c r="M7" s="1" t="s">
        <v>17</v>
      </c>
    </row>
    <row r="8" spans="1:13" x14ac:dyDescent="0.3">
      <c r="A8" s="1" t="s">
        <v>44</v>
      </c>
      <c r="B8" s="1" t="s">
        <v>45</v>
      </c>
      <c r="C8" s="1" t="s">
        <v>46</v>
      </c>
      <c r="D8" s="1" t="str">
        <f t="shared" si="2"/>
        <v>Jack Walker Fraser</v>
      </c>
      <c r="E8" s="1" t="str">
        <f t="shared" si="0"/>
        <v>JACK WALKER FRASER</v>
      </c>
      <c r="F8" s="1" t="s">
        <v>47</v>
      </c>
      <c r="G8" s="1" t="s">
        <v>48</v>
      </c>
      <c r="H8" s="1" t="s">
        <v>15</v>
      </c>
      <c r="I8" s="1" t="s">
        <v>16</v>
      </c>
      <c r="J8">
        <v>46</v>
      </c>
      <c r="K8">
        <v>21</v>
      </c>
      <c r="L8">
        <f t="shared" si="1"/>
        <v>67</v>
      </c>
      <c r="M8" s="1" t="s">
        <v>17</v>
      </c>
    </row>
    <row r="9" spans="1:13" x14ac:dyDescent="0.3">
      <c r="A9" s="1" t="s">
        <v>49</v>
      </c>
      <c r="B9" s="1" t="s">
        <v>50</v>
      </c>
      <c r="C9" s="1" t="s">
        <v>51</v>
      </c>
      <c r="D9" s="1" t="str">
        <f t="shared" si="2"/>
        <v>Emily Hall Glover</v>
      </c>
      <c r="E9" s="1" t="str">
        <f t="shared" si="0"/>
        <v>EMILY HALL GLOVER</v>
      </c>
      <c r="F9" s="1" t="s">
        <v>52</v>
      </c>
      <c r="G9" s="1" t="s">
        <v>53</v>
      </c>
      <c r="H9" s="1" t="s">
        <v>15</v>
      </c>
      <c r="I9" s="1" t="s">
        <v>16</v>
      </c>
      <c r="J9">
        <v>53</v>
      </c>
      <c r="K9">
        <v>25</v>
      </c>
      <c r="L9">
        <f t="shared" si="1"/>
        <v>78</v>
      </c>
      <c r="M9" s="1" t="s">
        <v>17</v>
      </c>
    </row>
    <row r="10" spans="1:13" x14ac:dyDescent="0.3">
      <c r="A10" s="1" t="s">
        <v>54</v>
      </c>
      <c r="B10" s="1" t="s">
        <v>55</v>
      </c>
      <c r="C10" s="1" t="s">
        <v>56</v>
      </c>
      <c r="D10" s="1" t="str">
        <f t="shared" si="2"/>
        <v>Thomas Young Price</v>
      </c>
      <c r="E10" s="1" t="str">
        <f t="shared" si="0"/>
        <v>THOMAS YOUNG PRICE</v>
      </c>
      <c r="F10" s="1" t="s">
        <v>57</v>
      </c>
      <c r="G10" s="1" t="s">
        <v>58</v>
      </c>
      <c r="H10" s="1" t="s">
        <v>15</v>
      </c>
      <c r="I10" s="1" t="s">
        <v>16</v>
      </c>
      <c r="J10">
        <v>54</v>
      </c>
      <c r="K10">
        <v>21</v>
      </c>
      <c r="L10">
        <f t="shared" si="1"/>
        <v>75</v>
      </c>
      <c r="M10" s="1" t="s">
        <v>17</v>
      </c>
    </row>
    <row r="11" spans="1:13" x14ac:dyDescent="0.3">
      <c r="A11" s="1" t="s">
        <v>59</v>
      </c>
      <c r="B11" s="1" t="s">
        <v>60</v>
      </c>
      <c r="C11" s="1" t="s">
        <v>61</v>
      </c>
      <c r="D11" s="1" t="str">
        <f t="shared" si="2"/>
        <v>Sophie King Marshall</v>
      </c>
      <c r="E11" s="1" t="str">
        <f t="shared" si="0"/>
        <v>SOPHIE KING MARSHALL</v>
      </c>
      <c r="F11" s="1" t="s">
        <v>62</v>
      </c>
      <c r="G11" s="1" t="s">
        <v>63</v>
      </c>
      <c r="H11" s="1" t="s">
        <v>15</v>
      </c>
      <c r="I11" s="1" t="s">
        <v>16</v>
      </c>
      <c r="J11">
        <v>61</v>
      </c>
      <c r="K11">
        <v>19</v>
      </c>
      <c r="L11">
        <f t="shared" si="1"/>
        <v>80</v>
      </c>
      <c r="M11" s="1" t="s">
        <v>17</v>
      </c>
    </row>
    <row r="12" spans="1:13" x14ac:dyDescent="0.3">
      <c r="A12" s="1" t="s">
        <v>64</v>
      </c>
      <c r="B12" s="1" t="s">
        <v>65</v>
      </c>
      <c r="C12" s="1" t="s">
        <v>66</v>
      </c>
      <c r="D12" s="1" t="str">
        <f t="shared" si="2"/>
        <v>Oscar Wright Dale</v>
      </c>
      <c r="E12" s="1" t="str">
        <f t="shared" si="0"/>
        <v>OSCAR WRIGHT DALE</v>
      </c>
      <c r="F12" s="1" t="s">
        <v>67</v>
      </c>
      <c r="G12" s="1" t="s">
        <v>68</v>
      </c>
      <c r="H12" s="1" t="s">
        <v>15</v>
      </c>
      <c r="I12" s="1" t="s">
        <v>16</v>
      </c>
      <c r="J12">
        <v>58</v>
      </c>
      <c r="K12">
        <v>21</v>
      </c>
      <c r="L12">
        <f t="shared" si="1"/>
        <v>79</v>
      </c>
      <c r="M12" s="1" t="s">
        <v>17</v>
      </c>
    </row>
    <row r="13" spans="1:13" x14ac:dyDescent="0.3">
      <c r="A13" s="1" t="s">
        <v>69</v>
      </c>
      <c r="B13" s="1" t="s">
        <v>70</v>
      </c>
      <c r="C13" s="1" t="s">
        <v>71</v>
      </c>
      <c r="D13" s="1" t="str">
        <f t="shared" si="2"/>
        <v>Leo Harris Cole</v>
      </c>
      <c r="E13" s="1" t="str">
        <f t="shared" si="0"/>
        <v>LEO HARRIS COLE</v>
      </c>
      <c r="F13" s="1" t="s">
        <v>72</v>
      </c>
      <c r="G13" s="1" t="s">
        <v>73</v>
      </c>
      <c r="H13" s="1" t="s">
        <v>15</v>
      </c>
      <c r="I13" s="1" t="s">
        <v>16</v>
      </c>
      <c r="J13">
        <v>65</v>
      </c>
      <c r="K13">
        <v>20</v>
      </c>
      <c r="L13">
        <f t="shared" si="1"/>
        <v>85</v>
      </c>
      <c r="M13" s="1" t="s">
        <v>17</v>
      </c>
    </row>
    <row r="14" spans="1:13" x14ac:dyDescent="0.3">
      <c r="A14" s="1" t="s">
        <v>74</v>
      </c>
      <c r="B14" s="1" t="s">
        <v>75</v>
      </c>
      <c r="C14" s="1" t="s">
        <v>76</v>
      </c>
      <c r="D14" s="1" t="str">
        <f t="shared" si="2"/>
        <v>Charlie Martin Quinn</v>
      </c>
      <c r="E14" s="1" t="str">
        <f t="shared" si="0"/>
        <v>CHARLIE MARTIN QUINN</v>
      </c>
      <c r="F14" s="1" t="s">
        <v>77</v>
      </c>
      <c r="G14" s="1" t="s">
        <v>78</v>
      </c>
      <c r="H14" s="1" t="s">
        <v>15</v>
      </c>
      <c r="I14" s="1" t="s">
        <v>16</v>
      </c>
      <c r="J14">
        <v>36</v>
      </c>
      <c r="K14">
        <v>21</v>
      </c>
      <c r="L14">
        <f t="shared" si="1"/>
        <v>57</v>
      </c>
      <c r="M14" s="1" t="s">
        <v>17</v>
      </c>
    </row>
    <row r="15" spans="1:13" x14ac:dyDescent="0.3">
      <c r="A15" s="1" t="s">
        <v>79</v>
      </c>
      <c r="B15" s="1" t="s">
        <v>80</v>
      </c>
      <c r="C15" s="1" t="s">
        <v>81</v>
      </c>
      <c r="D15" s="1" t="str">
        <f t="shared" si="2"/>
        <v>Noah Thompson Blake</v>
      </c>
      <c r="E15" s="1" t="str">
        <f t="shared" si="0"/>
        <v>NOAH THOMPSON BLAKE</v>
      </c>
      <c r="F15" s="1" t="s">
        <v>82</v>
      </c>
      <c r="G15" s="1" t="s">
        <v>83</v>
      </c>
      <c r="H15" s="1" t="s">
        <v>15</v>
      </c>
      <c r="I15" s="1" t="s">
        <v>16</v>
      </c>
      <c r="J15">
        <v>28</v>
      </c>
      <c r="K15">
        <v>25</v>
      </c>
      <c r="L15">
        <f t="shared" si="1"/>
        <v>53</v>
      </c>
      <c r="M15" s="1" t="s">
        <v>17</v>
      </c>
    </row>
    <row r="16" spans="1:13" x14ac:dyDescent="0.3">
      <c r="A16" s="1" t="s">
        <v>84</v>
      </c>
      <c r="B16" s="1" t="s">
        <v>85</v>
      </c>
      <c r="C16" s="1" t="s">
        <v>86</v>
      </c>
      <c r="D16" s="1" t="str">
        <f t="shared" si="2"/>
        <v>Lily Cooper Shaw</v>
      </c>
      <c r="E16" s="1" t="str">
        <f t="shared" si="0"/>
        <v>LILY COOPER SHAW</v>
      </c>
      <c r="F16" s="1" t="s">
        <v>87</v>
      </c>
      <c r="G16" s="1" t="s">
        <v>88</v>
      </c>
      <c r="H16" s="1" t="s">
        <v>15</v>
      </c>
      <c r="I16" s="1" t="s">
        <v>16</v>
      </c>
      <c r="J16">
        <v>51</v>
      </c>
      <c r="K16">
        <v>23</v>
      </c>
      <c r="L16">
        <f t="shared" si="1"/>
        <v>74</v>
      </c>
      <c r="M16" s="1" t="s">
        <v>17</v>
      </c>
    </row>
    <row r="17" spans="1:13" x14ac:dyDescent="0.3">
      <c r="A17" s="1" t="s">
        <v>89</v>
      </c>
      <c r="B17" s="1" t="s">
        <v>90</v>
      </c>
      <c r="C17" s="1" t="s">
        <v>91</v>
      </c>
      <c r="D17" s="1" t="str">
        <f t="shared" si="2"/>
        <v>Ella Morgan Doyle</v>
      </c>
      <c r="E17" s="1" t="str">
        <f t="shared" si="0"/>
        <v>ELLA MORGAN DOYLE</v>
      </c>
      <c r="F17" s="1" t="s">
        <v>92</v>
      </c>
      <c r="G17" s="1" t="s">
        <v>93</v>
      </c>
      <c r="H17" s="1" t="s">
        <v>15</v>
      </c>
      <c r="I17" s="1" t="s">
        <v>16</v>
      </c>
      <c r="J17">
        <v>28</v>
      </c>
      <c r="K17">
        <v>13</v>
      </c>
      <c r="L17">
        <f t="shared" si="1"/>
        <v>41</v>
      </c>
      <c r="M17" s="1" t="s">
        <v>17</v>
      </c>
    </row>
    <row r="18" spans="1:13" x14ac:dyDescent="0.3">
      <c r="A18" s="1" t="s">
        <v>94</v>
      </c>
      <c r="B18" s="1" t="s">
        <v>95</v>
      </c>
      <c r="C18" s="1" t="s">
        <v>96</v>
      </c>
      <c r="D18" s="1" t="str">
        <f t="shared" si="2"/>
        <v>Ruby Hughes Palmer</v>
      </c>
      <c r="E18" s="1" t="str">
        <f t="shared" si="0"/>
        <v>RUBY HUGHES PALMER</v>
      </c>
      <c r="F18" s="1" t="s">
        <v>97</v>
      </c>
      <c r="G18" s="1" t="s">
        <v>98</v>
      </c>
      <c r="H18" s="1" t="s">
        <v>15</v>
      </c>
      <c r="I18" s="1" t="s">
        <v>16</v>
      </c>
      <c r="J18">
        <v>33</v>
      </c>
      <c r="K18">
        <v>17</v>
      </c>
      <c r="L18">
        <f t="shared" si="1"/>
        <v>50</v>
      </c>
      <c r="M18" s="1" t="s">
        <v>17</v>
      </c>
    </row>
    <row r="19" spans="1:13" x14ac:dyDescent="0.3">
      <c r="A19" s="1" t="s">
        <v>99</v>
      </c>
      <c r="B19" s="1" t="s">
        <v>100</v>
      </c>
      <c r="C19" s="1" t="s">
        <v>101</v>
      </c>
      <c r="D19" s="1" t="str">
        <f t="shared" si="2"/>
        <v>Edward Collins Nash</v>
      </c>
      <c r="E19" s="1" t="str">
        <f t="shared" si="0"/>
        <v>EDWARD COLLINS NASH</v>
      </c>
      <c r="F19" s="1" t="s">
        <v>102</v>
      </c>
      <c r="G19" s="1" t="s">
        <v>103</v>
      </c>
      <c r="H19" s="1" t="s">
        <v>15</v>
      </c>
      <c r="I19" s="1" t="s">
        <v>16</v>
      </c>
      <c r="J19">
        <v>55</v>
      </c>
      <c r="K19">
        <v>24</v>
      </c>
      <c r="L19">
        <f t="shared" si="1"/>
        <v>79</v>
      </c>
      <c r="M19" s="1" t="s">
        <v>17</v>
      </c>
    </row>
    <row r="20" spans="1:13" x14ac:dyDescent="0.3">
      <c r="A20" s="1" t="s">
        <v>104</v>
      </c>
      <c r="B20" s="1" t="s">
        <v>105</v>
      </c>
      <c r="C20" s="1" t="s">
        <v>106</v>
      </c>
      <c r="D20" s="1" t="str">
        <f t="shared" si="2"/>
        <v>William Grant Wyatt</v>
      </c>
      <c r="E20" s="1" t="str">
        <f t="shared" si="0"/>
        <v>WILLIAM GRANT WYATT</v>
      </c>
      <c r="F20" s="1" t="s">
        <v>107</v>
      </c>
      <c r="G20" s="1" t="s">
        <v>108</v>
      </c>
      <c r="H20" s="1" t="s">
        <v>15</v>
      </c>
      <c r="I20" s="1" t="s">
        <v>16</v>
      </c>
      <c r="J20">
        <v>34</v>
      </c>
      <c r="K20">
        <v>21</v>
      </c>
      <c r="L20">
        <f t="shared" si="1"/>
        <v>55</v>
      </c>
      <c r="M20" s="1" t="s">
        <v>109</v>
      </c>
    </row>
    <row r="21" spans="1:13" x14ac:dyDescent="0.3">
      <c r="A21" s="1" t="s">
        <v>110</v>
      </c>
      <c r="B21" s="1" t="s">
        <v>36</v>
      </c>
      <c r="C21" s="1" t="s">
        <v>111</v>
      </c>
      <c r="D21" s="1" t="str">
        <f t="shared" si="2"/>
        <v>Alexander Reed Fleming</v>
      </c>
      <c r="E21" s="1" t="str">
        <f t="shared" si="0"/>
        <v>ALEXANDER REED FLEMING</v>
      </c>
      <c r="F21" s="1" t="s">
        <v>112</v>
      </c>
      <c r="G21" s="1" t="s">
        <v>113</v>
      </c>
      <c r="H21" s="1" t="s">
        <v>15</v>
      </c>
      <c r="I21" s="1" t="s">
        <v>23</v>
      </c>
      <c r="J21">
        <v>45</v>
      </c>
      <c r="K21">
        <v>0</v>
      </c>
      <c r="L21">
        <f t="shared" si="1"/>
        <v>45</v>
      </c>
      <c r="M21" s="1" t="s">
        <v>109</v>
      </c>
    </row>
    <row r="22" spans="1:13" x14ac:dyDescent="0.3">
      <c r="A22" s="1" t="s">
        <v>114</v>
      </c>
      <c r="B22" s="1" t="s">
        <v>56</v>
      </c>
      <c r="C22" s="1" t="s">
        <v>115</v>
      </c>
      <c r="D22" s="1" t="str">
        <f t="shared" si="2"/>
        <v>Benjamin Price Ellis</v>
      </c>
      <c r="E22" s="1" t="str">
        <f t="shared" si="0"/>
        <v>BENJAMIN PRICE ELLIS</v>
      </c>
      <c r="F22" s="1" t="s">
        <v>116</v>
      </c>
      <c r="G22" s="1" t="s">
        <v>117</v>
      </c>
      <c r="H22" s="1" t="s">
        <v>15</v>
      </c>
      <c r="I22" s="1" t="s">
        <v>16</v>
      </c>
      <c r="J22">
        <v>68</v>
      </c>
      <c r="K22">
        <v>22</v>
      </c>
      <c r="L22">
        <f t="shared" si="1"/>
        <v>90</v>
      </c>
      <c r="M22" s="1" t="s">
        <v>17</v>
      </c>
    </row>
    <row r="23" spans="1:13" x14ac:dyDescent="0.3">
      <c r="A23" s="1" t="s">
        <v>118</v>
      </c>
      <c r="B23" s="1" t="s">
        <v>119</v>
      </c>
      <c r="C23" s="1" t="s">
        <v>120</v>
      </c>
      <c r="D23" s="1" t="str">
        <f t="shared" si="2"/>
        <v>Matilda Carr Lawson</v>
      </c>
      <c r="E23" s="1" t="str">
        <f t="shared" si="0"/>
        <v>MATILDA CARR LAWSON</v>
      </c>
      <c r="F23" s="1" t="s">
        <v>121</v>
      </c>
      <c r="G23" s="1" t="s">
        <v>122</v>
      </c>
      <c r="H23" s="1" t="s">
        <v>15</v>
      </c>
      <c r="I23" s="1" t="s">
        <v>16</v>
      </c>
      <c r="J23">
        <v>56</v>
      </c>
      <c r="K23">
        <v>18</v>
      </c>
      <c r="L23">
        <f t="shared" si="1"/>
        <v>74</v>
      </c>
      <c r="M23" s="1" t="s">
        <v>17</v>
      </c>
    </row>
    <row r="24" spans="1:13" x14ac:dyDescent="0.3">
      <c r="A24" s="1" t="s">
        <v>123</v>
      </c>
      <c r="B24" s="1" t="s">
        <v>120</v>
      </c>
      <c r="C24" s="1" t="s">
        <v>124</v>
      </c>
      <c r="D24" s="1" t="str">
        <f t="shared" si="2"/>
        <v>Pippa Lawson Howard</v>
      </c>
      <c r="E24" s="1" t="str">
        <f t="shared" si="0"/>
        <v>PIPPA LAWSON HOWARD</v>
      </c>
      <c r="F24" s="1" t="s">
        <v>125</v>
      </c>
      <c r="G24" s="1" t="s">
        <v>126</v>
      </c>
      <c r="H24" s="1" t="s">
        <v>15</v>
      </c>
      <c r="I24" s="1" t="s">
        <v>16</v>
      </c>
      <c r="J24">
        <v>41</v>
      </c>
      <c r="K24">
        <v>20</v>
      </c>
      <c r="L24">
        <f t="shared" si="1"/>
        <v>61</v>
      </c>
      <c r="M24" s="1" t="s">
        <v>17</v>
      </c>
    </row>
    <row r="25" spans="1:13" x14ac:dyDescent="0.3">
      <c r="A25" s="1" t="s">
        <v>127</v>
      </c>
      <c r="B25" s="1" t="s">
        <v>115</v>
      </c>
      <c r="C25" s="1" t="s">
        <v>128</v>
      </c>
      <c r="D25" s="1" t="str">
        <f t="shared" si="2"/>
        <v>Daniel Ellis Spencer</v>
      </c>
      <c r="E25" s="1" t="str">
        <f t="shared" si="0"/>
        <v>DANIEL ELLIS SPENCER</v>
      </c>
      <c r="F25" s="1" t="s">
        <v>129</v>
      </c>
      <c r="G25" s="1" t="s">
        <v>130</v>
      </c>
      <c r="H25" s="1" t="s">
        <v>15</v>
      </c>
      <c r="I25" s="1" t="s">
        <v>16</v>
      </c>
      <c r="J25">
        <v>42</v>
      </c>
      <c r="K25">
        <v>23</v>
      </c>
      <c r="L25">
        <f t="shared" si="1"/>
        <v>65</v>
      </c>
      <c r="M25" s="1" t="s">
        <v>17</v>
      </c>
    </row>
    <row r="26" spans="1:13" x14ac:dyDescent="0.3">
      <c r="A26" s="1" t="s">
        <v>131</v>
      </c>
      <c r="B26" s="1" t="s">
        <v>61</v>
      </c>
      <c r="C26" s="1" t="s">
        <v>105</v>
      </c>
      <c r="D26" s="1" t="str">
        <f t="shared" si="2"/>
        <v>Joseph Marshall Grant</v>
      </c>
      <c r="E26" s="1" t="str">
        <f t="shared" si="0"/>
        <v>JOSEPH MARSHALL GRANT</v>
      </c>
      <c r="F26" s="1" t="s">
        <v>132</v>
      </c>
      <c r="G26" s="1" t="s">
        <v>133</v>
      </c>
      <c r="H26" s="1" t="s">
        <v>15</v>
      </c>
      <c r="I26" s="1" t="s">
        <v>16</v>
      </c>
      <c r="J26">
        <v>60</v>
      </c>
      <c r="K26">
        <v>24</v>
      </c>
      <c r="L26">
        <f t="shared" si="1"/>
        <v>84</v>
      </c>
      <c r="M26" s="1" t="s">
        <v>17</v>
      </c>
    </row>
    <row r="27" spans="1:13" x14ac:dyDescent="0.3">
      <c r="A27" s="1" t="s">
        <v>134</v>
      </c>
      <c r="B27" s="1" t="s">
        <v>111</v>
      </c>
      <c r="C27" s="1" t="s">
        <v>36</v>
      </c>
      <c r="D27" s="1" t="str">
        <f t="shared" si="2"/>
        <v>Isaac Fleming Reed</v>
      </c>
      <c r="E27" s="1" t="str">
        <f t="shared" si="0"/>
        <v>ISAAC FLEMING REED</v>
      </c>
      <c r="F27" s="1" t="s">
        <v>135</v>
      </c>
      <c r="G27" s="1" t="s">
        <v>136</v>
      </c>
      <c r="H27" s="1" t="s">
        <v>15</v>
      </c>
      <c r="I27" s="1" t="s">
        <v>16</v>
      </c>
      <c r="J27">
        <v>61</v>
      </c>
      <c r="K27">
        <v>19</v>
      </c>
      <c r="L27">
        <f t="shared" si="1"/>
        <v>80</v>
      </c>
      <c r="M27" s="1" t="s">
        <v>17</v>
      </c>
    </row>
    <row r="28" spans="1:13" x14ac:dyDescent="0.3">
      <c r="A28" s="1" t="s">
        <v>137</v>
      </c>
      <c r="B28" s="1" t="s">
        <v>138</v>
      </c>
      <c r="C28" s="1" t="s">
        <v>139</v>
      </c>
      <c r="D28" s="1" t="str">
        <f t="shared" si="2"/>
        <v>Jessica Baker Frost</v>
      </c>
      <c r="E28" s="1" t="str">
        <f t="shared" si="0"/>
        <v>JESSICA BAKER FROST</v>
      </c>
      <c r="F28" s="1" t="s">
        <v>140</v>
      </c>
      <c r="G28" s="1" t="s">
        <v>141</v>
      </c>
      <c r="H28" s="1" t="s">
        <v>15</v>
      </c>
      <c r="I28" s="1" t="s">
        <v>16</v>
      </c>
      <c r="J28">
        <v>51</v>
      </c>
      <c r="K28">
        <v>22</v>
      </c>
      <c r="L28">
        <f t="shared" si="1"/>
        <v>73</v>
      </c>
      <c r="M28" s="1" t="s">
        <v>17</v>
      </c>
    </row>
    <row r="29" spans="1:13" x14ac:dyDescent="0.3">
      <c r="A29" s="1" t="s">
        <v>142</v>
      </c>
      <c r="B29" s="1" t="s">
        <v>86</v>
      </c>
      <c r="C29" s="1" t="s">
        <v>143</v>
      </c>
      <c r="D29" s="1" t="str">
        <f t="shared" si="2"/>
        <v>Lucy Shaw Chase</v>
      </c>
      <c r="E29" s="1" t="str">
        <f t="shared" si="0"/>
        <v>LUCY SHAW CHASE</v>
      </c>
      <c r="F29" s="1" t="s">
        <v>144</v>
      </c>
      <c r="G29" s="1" t="s">
        <v>145</v>
      </c>
      <c r="H29" s="1" t="s">
        <v>15</v>
      </c>
      <c r="I29" s="1" t="s">
        <v>16</v>
      </c>
      <c r="J29">
        <v>40</v>
      </c>
      <c r="K29">
        <v>23</v>
      </c>
      <c r="L29">
        <f t="shared" si="1"/>
        <v>63</v>
      </c>
      <c r="M29" s="1" t="s">
        <v>17</v>
      </c>
    </row>
    <row r="30" spans="1:13" x14ac:dyDescent="0.3">
      <c r="A30" s="1" t="s">
        <v>146</v>
      </c>
      <c r="B30" s="1" t="s">
        <v>91</v>
      </c>
      <c r="C30" s="1" t="s">
        <v>147</v>
      </c>
      <c r="D30" s="1" t="str">
        <f t="shared" si="2"/>
        <v>Megan Doyle Barrett</v>
      </c>
      <c r="E30" s="1" t="str">
        <f t="shared" si="0"/>
        <v>MEGAN DOYLE BARRETT</v>
      </c>
      <c r="F30" s="1" t="s">
        <v>148</v>
      </c>
      <c r="G30" s="1" t="s">
        <v>149</v>
      </c>
      <c r="H30" s="1" t="s">
        <v>15</v>
      </c>
      <c r="I30" s="1" t="s">
        <v>16</v>
      </c>
      <c r="J30">
        <v>70</v>
      </c>
      <c r="K30">
        <v>20</v>
      </c>
      <c r="L30">
        <f t="shared" si="1"/>
        <v>90</v>
      </c>
      <c r="M30" s="1" t="s">
        <v>17</v>
      </c>
    </row>
    <row r="31" spans="1:13" x14ac:dyDescent="0.3">
      <c r="A31" s="1" t="s">
        <v>150</v>
      </c>
      <c r="B31" s="1" t="s">
        <v>96</v>
      </c>
      <c r="C31" s="1" t="s">
        <v>151</v>
      </c>
      <c r="D31" s="1" t="str">
        <f t="shared" si="2"/>
        <v>Sarah Palmer Rhodes</v>
      </c>
      <c r="E31" s="1" t="str">
        <f t="shared" si="0"/>
        <v>SARAH PALMER RHODES</v>
      </c>
      <c r="F31" s="1" t="s">
        <v>152</v>
      </c>
      <c r="G31" s="1" t="s">
        <v>153</v>
      </c>
      <c r="H31" s="1" t="s">
        <v>15</v>
      </c>
      <c r="I31" s="1" t="s">
        <v>23</v>
      </c>
      <c r="J31">
        <v>51</v>
      </c>
      <c r="K31">
        <v>3</v>
      </c>
      <c r="L31">
        <f t="shared" si="1"/>
        <v>54</v>
      </c>
      <c r="M31" s="1" t="s">
        <v>17</v>
      </c>
    </row>
    <row r="32" spans="1:13" x14ac:dyDescent="0.3">
      <c r="A32" s="1" t="s">
        <v>154</v>
      </c>
      <c r="B32" s="1" t="s">
        <v>147</v>
      </c>
      <c r="C32" s="1" t="s">
        <v>119</v>
      </c>
      <c r="D32" s="1" t="str">
        <f t="shared" si="2"/>
        <v>Hannah Barrett Carr</v>
      </c>
      <c r="E32" s="1" t="str">
        <f t="shared" si="0"/>
        <v>HANNAH BARRETT CARR</v>
      </c>
      <c r="F32" s="1" t="s">
        <v>155</v>
      </c>
      <c r="G32" s="1" t="s">
        <v>156</v>
      </c>
      <c r="H32" s="1" t="s">
        <v>15</v>
      </c>
      <c r="I32" s="1" t="s">
        <v>16</v>
      </c>
      <c r="J32">
        <v>63</v>
      </c>
      <c r="K32">
        <v>22</v>
      </c>
      <c r="L32">
        <f t="shared" si="1"/>
        <v>85</v>
      </c>
      <c r="M32" s="1" t="s">
        <v>17</v>
      </c>
    </row>
    <row r="33" spans="1:13" x14ac:dyDescent="0.3">
      <c r="A33" s="1" t="s">
        <v>157</v>
      </c>
      <c r="B33" s="1" t="s">
        <v>158</v>
      </c>
      <c r="C33" s="1" t="s">
        <v>159</v>
      </c>
      <c r="D33" s="1" t="str">
        <f t="shared" si="2"/>
        <v>Zoe Curtis Neale</v>
      </c>
      <c r="E33" s="1" t="str">
        <f t="shared" si="0"/>
        <v>ZOE CURTIS NEALE</v>
      </c>
      <c r="F33" s="1" t="s">
        <v>160</v>
      </c>
      <c r="G33" s="1" t="s">
        <v>161</v>
      </c>
      <c r="H33" s="1" t="s">
        <v>15</v>
      </c>
      <c r="I33" s="1" t="s">
        <v>16</v>
      </c>
      <c r="J33">
        <v>70</v>
      </c>
      <c r="K33">
        <v>24</v>
      </c>
      <c r="L33">
        <f t="shared" si="1"/>
        <v>94</v>
      </c>
      <c r="M33" s="1" t="s">
        <v>17</v>
      </c>
    </row>
    <row r="34" spans="1:13" x14ac:dyDescent="0.3">
      <c r="A34" s="1" t="s">
        <v>162</v>
      </c>
      <c r="B34" s="1" t="s">
        <v>151</v>
      </c>
      <c r="C34" s="1" t="s">
        <v>76</v>
      </c>
      <c r="D34" s="1" t="str">
        <f t="shared" si="2"/>
        <v>Beth Rhodes Quinn</v>
      </c>
      <c r="E34" s="1" t="str">
        <f t="shared" si="0"/>
        <v>BETH RHODES QUINN</v>
      </c>
      <c r="F34" s="1" t="s">
        <v>163</v>
      </c>
      <c r="G34" s="1" t="s">
        <v>164</v>
      </c>
      <c r="H34" s="1" t="s">
        <v>15</v>
      </c>
      <c r="I34" s="1" t="s">
        <v>16</v>
      </c>
      <c r="J34">
        <v>56</v>
      </c>
      <c r="K34">
        <v>25</v>
      </c>
      <c r="L34">
        <f t="shared" si="1"/>
        <v>81</v>
      </c>
      <c r="M34" s="1" t="s">
        <v>109</v>
      </c>
    </row>
    <row r="35" spans="1:13" x14ac:dyDescent="0.3">
      <c r="A35" s="1" t="s">
        <v>165</v>
      </c>
      <c r="B35" s="1" t="s">
        <v>159</v>
      </c>
      <c r="C35" s="1" t="s">
        <v>166</v>
      </c>
      <c r="D35" s="1" t="str">
        <f t="shared" si="2"/>
        <v>Margaret Neale Abbott</v>
      </c>
      <c r="E35" s="1" t="str">
        <f t="shared" si="0"/>
        <v>MARGARET NEALE ABBOTT</v>
      </c>
      <c r="F35" s="1" t="s">
        <v>167</v>
      </c>
      <c r="G35" s="1" t="s">
        <v>168</v>
      </c>
      <c r="H35" s="1" t="s">
        <v>15</v>
      </c>
      <c r="I35" s="1" t="s">
        <v>16</v>
      </c>
      <c r="J35">
        <v>50</v>
      </c>
      <c r="K35">
        <v>19</v>
      </c>
      <c r="L35">
        <f t="shared" si="1"/>
        <v>69</v>
      </c>
      <c r="M35" s="1" t="s">
        <v>17</v>
      </c>
    </row>
    <row r="36" spans="1:13" x14ac:dyDescent="0.3">
      <c r="A36" s="1" t="s">
        <v>169</v>
      </c>
      <c r="B36" s="1" t="s">
        <v>76</v>
      </c>
      <c r="C36" s="1" t="s">
        <v>170</v>
      </c>
      <c r="D36" s="1" t="str">
        <f t="shared" si="2"/>
        <v>Florence Quinn Mercer</v>
      </c>
      <c r="E36" s="1" t="str">
        <f t="shared" si="0"/>
        <v>FLORENCE QUINN MERCER</v>
      </c>
      <c r="F36" s="1" t="s">
        <v>171</v>
      </c>
      <c r="G36" s="1" t="s">
        <v>172</v>
      </c>
      <c r="H36" s="1" t="s">
        <v>15</v>
      </c>
      <c r="I36" s="1" t="s">
        <v>16</v>
      </c>
      <c r="J36">
        <v>58</v>
      </c>
      <c r="K36">
        <v>21</v>
      </c>
      <c r="L36">
        <f t="shared" si="1"/>
        <v>79</v>
      </c>
      <c r="M36" s="1" t="s">
        <v>17</v>
      </c>
    </row>
    <row r="37" spans="1:13" x14ac:dyDescent="0.3">
      <c r="A37" s="1" t="s">
        <v>173</v>
      </c>
      <c r="B37" s="1" t="s">
        <v>166</v>
      </c>
      <c r="C37" s="1" t="s">
        <v>174</v>
      </c>
      <c r="D37" s="1" t="str">
        <f t="shared" si="2"/>
        <v>Celia Abbott Pope</v>
      </c>
      <c r="E37" s="1" t="str">
        <f t="shared" si="0"/>
        <v>CELIA ABBOTT POPE</v>
      </c>
      <c r="F37" s="1" t="s">
        <v>175</v>
      </c>
      <c r="G37" s="1" t="s">
        <v>176</v>
      </c>
      <c r="H37" s="1" t="s">
        <v>15</v>
      </c>
      <c r="I37" s="1" t="s">
        <v>16</v>
      </c>
      <c r="J37">
        <v>24</v>
      </c>
      <c r="K37">
        <v>23</v>
      </c>
      <c r="L37">
        <f t="shared" si="1"/>
        <v>47</v>
      </c>
      <c r="M37" s="1" t="s">
        <v>17</v>
      </c>
    </row>
    <row r="38" spans="1:13" x14ac:dyDescent="0.3">
      <c r="A38" s="1" t="s">
        <v>177</v>
      </c>
      <c r="B38" s="1" t="s">
        <v>178</v>
      </c>
      <c r="C38" s="1" t="s">
        <v>179</v>
      </c>
      <c r="D38" s="1" t="str">
        <f t="shared" si="2"/>
        <v>Ian McKay Boyd</v>
      </c>
      <c r="E38" s="1" t="str">
        <f t="shared" si="0"/>
        <v>IAN MCKAY BOYD</v>
      </c>
      <c r="F38" s="1" t="s">
        <v>180</v>
      </c>
      <c r="G38" s="1" t="s">
        <v>181</v>
      </c>
      <c r="H38" s="1" t="s">
        <v>15</v>
      </c>
      <c r="I38" s="1" t="s">
        <v>16</v>
      </c>
      <c r="J38">
        <v>45</v>
      </c>
      <c r="K38">
        <v>22</v>
      </c>
      <c r="L38">
        <f t="shared" si="1"/>
        <v>67</v>
      </c>
      <c r="M38" s="1" t="s">
        <v>17</v>
      </c>
    </row>
    <row r="39" spans="1:13" x14ac:dyDescent="0.3">
      <c r="A39" s="1" t="s">
        <v>182</v>
      </c>
      <c r="B39" s="1" t="s">
        <v>179</v>
      </c>
      <c r="C39" s="1" t="s">
        <v>183</v>
      </c>
      <c r="D39" s="1" t="str">
        <f t="shared" si="2"/>
        <v>Gordon Boyd Poole</v>
      </c>
      <c r="E39" s="1" t="str">
        <f t="shared" si="0"/>
        <v>GORDON BOYD POOLE</v>
      </c>
      <c r="F39" s="1" t="s">
        <v>184</v>
      </c>
      <c r="G39" s="1" t="s">
        <v>185</v>
      </c>
      <c r="H39" s="1" t="s">
        <v>15</v>
      </c>
      <c r="I39" s="1" t="s">
        <v>16</v>
      </c>
      <c r="J39">
        <v>41</v>
      </c>
      <c r="K39">
        <v>23</v>
      </c>
      <c r="L39">
        <f t="shared" si="1"/>
        <v>64</v>
      </c>
      <c r="M39" s="1" t="s">
        <v>17</v>
      </c>
    </row>
    <row r="40" spans="1:13" x14ac:dyDescent="0.3">
      <c r="A40" s="1" t="s">
        <v>186</v>
      </c>
      <c r="B40" s="1" t="s">
        <v>187</v>
      </c>
      <c r="C40" s="1" t="s">
        <v>188</v>
      </c>
      <c r="D40" s="1" t="str">
        <f t="shared" si="2"/>
        <v>Alistair Leigh Hart</v>
      </c>
      <c r="E40" s="1" t="str">
        <f t="shared" si="0"/>
        <v>ALISTAIR LEIGH HART</v>
      </c>
      <c r="F40" s="1" t="s">
        <v>189</v>
      </c>
      <c r="G40" s="1" t="s">
        <v>190</v>
      </c>
      <c r="H40" s="1" t="s">
        <v>15</v>
      </c>
      <c r="I40" s="1" t="s">
        <v>16</v>
      </c>
      <c r="J40">
        <v>61</v>
      </c>
      <c r="K40">
        <v>17</v>
      </c>
      <c r="L40">
        <f t="shared" si="1"/>
        <v>78</v>
      </c>
      <c r="M40" s="1" t="s">
        <v>17</v>
      </c>
    </row>
    <row r="41" spans="1:13" x14ac:dyDescent="0.3">
      <c r="A41" s="1" t="s">
        <v>191</v>
      </c>
      <c r="B41" s="1" t="s">
        <v>183</v>
      </c>
      <c r="C41" s="1" t="s">
        <v>192</v>
      </c>
      <c r="D41" s="1" t="str">
        <f t="shared" si="2"/>
        <v>Trevor Poole Mason</v>
      </c>
      <c r="E41" s="1" t="str">
        <f t="shared" si="0"/>
        <v>TREVOR POOLE MASON</v>
      </c>
      <c r="F41" s="1" t="s">
        <v>193</v>
      </c>
      <c r="G41" s="1" t="s">
        <v>194</v>
      </c>
      <c r="H41" s="1" t="s">
        <v>15</v>
      </c>
      <c r="I41" s="1" t="s">
        <v>23</v>
      </c>
      <c r="J41">
        <v>31</v>
      </c>
      <c r="K41">
        <v>0</v>
      </c>
      <c r="L41">
        <f t="shared" si="1"/>
        <v>31</v>
      </c>
      <c r="M41" s="1" t="s">
        <v>17</v>
      </c>
    </row>
    <row r="42" spans="1:13" x14ac:dyDescent="0.3">
      <c r="A42" s="1" t="s">
        <v>195</v>
      </c>
      <c r="B42" s="1" t="s">
        <v>188</v>
      </c>
      <c r="C42" s="1" t="s">
        <v>196</v>
      </c>
      <c r="D42" s="1" t="str">
        <f t="shared" si="2"/>
        <v>Adrian Hart Greene</v>
      </c>
      <c r="E42" s="1" t="str">
        <f t="shared" si="0"/>
        <v>ADRIAN HART GREENE</v>
      </c>
      <c r="F42" s="1" t="s">
        <v>197</v>
      </c>
      <c r="G42" s="1" t="s">
        <v>198</v>
      </c>
      <c r="H42" s="1" t="s">
        <v>15</v>
      </c>
      <c r="I42" s="1" t="s">
        <v>16</v>
      </c>
      <c r="J42">
        <v>49</v>
      </c>
      <c r="K42">
        <v>25</v>
      </c>
      <c r="L42">
        <f t="shared" si="1"/>
        <v>74</v>
      </c>
      <c r="M42" s="1" t="s">
        <v>17</v>
      </c>
    </row>
    <row r="43" spans="1:13" x14ac:dyDescent="0.3">
      <c r="A43" s="1" t="s">
        <v>199</v>
      </c>
      <c r="B43" s="1" t="s">
        <v>183</v>
      </c>
      <c r="C43" s="1" t="s">
        <v>81</v>
      </c>
      <c r="D43" s="1" t="str">
        <f t="shared" si="2"/>
        <v>Justin Poole Blake</v>
      </c>
      <c r="E43" s="1" t="str">
        <f t="shared" si="0"/>
        <v>JUSTIN POOLE BLAKE</v>
      </c>
      <c r="F43" s="1" t="s">
        <v>200</v>
      </c>
      <c r="G43" s="1" t="s">
        <v>201</v>
      </c>
      <c r="H43" s="1" t="s">
        <v>15</v>
      </c>
      <c r="I43" s="1" t="s">
        <v>16</v>
      </c>
      <c r="J43">
        <v>65</v>
      </c>
      <c r="K43">
        <v>21</v>
      </c>
      <c r="L43">
        <f t="shared" si="1"/>
        <v>86</v>
      </c>
      <c r="M43" s="1" t="s">
        <v>17</v>
      </c>
    </row>
    <row r="44" spans="1:13" x14ac:dyDescent="0.3">
      <c r="A44" s="1" t="s">
        <v>202</v>
      </c>
      <c r="B44" s="1" t="s">
        <v>203</v>
      </c>
      <c r="C44" s="1" t="s">
        <v>204</v>
      </c>
      <c r="D44" s="1" t="str">
        <f t="shared" si="2"/>
        <v>Gareth Macdonald Irwin</v>
      </c>
      <c r="E44" s="1" t="str">
        <f t="shared" si="0"/>
        <v>GARETH MACDONALD IRWIN</v>
      </c>
      <c r="F44" s="1" t="s">
        <v>205</v>
      </c>
      <c r="G44" s="1" t="s">
        <v>206</v>
      </c>
      <c r="H44" s="1" t="s">
        <v>15</v>
      </c>
      <c r="I44" s="1" t="s">
        <v>16</v>
      </c>
      <c r="J44">
        <v>24</v>
      </c>
      <c r="K44">
        <v>25</v>
      </c>
      <c r="L44">
        <f t="shared" si="1"/>
        <v>49</v>
      </c>
      <c r="M44" s="1" t="s">
        <v>17</v>
      </c>
    </row>
    <row r="45" spans="1:13" x14ac:dyDescent="0.3">
      <c r="A45" s="1" t="s">
        <v>207</v>
      </c>
      <c r="B45" s="1" t="s">
        <v>188</v>
      </c>
      <c r="C45" s="1" t="s">
        <v>208</v>
      </c>
      <c r="D45" s="1" t="str">
        <f t="shared" si="2"/>
        <v>Shaun Hart Bradley</v>
      </c>
      <c r="E45" s="1" t="str">
        <f t="shared" si="0"/>
        <v>SHAUN HART BRADLEY</v>
      </c>
      <c r="F45" s="1" t="s">
        <v>209</v>
      </c>
      <c r="G45" s="1" t="s">
        <v>210</v>
      </c>
      <c r="H45" s="1" t="s">
        <v>15</v>
      </c>
      <c r="I45" s="1" t="s">
        <v>16</v>
      </c>
      <c r="J45">
        <v>36</v>
      </c>
      <c r="K45">
        <v>22</v>
      </c>
      <c r="L45">
        <f t="shared" si="1"/>
        <v>58</v>
      </c>
      <c r="M45" s="1" t="s">
        <v>17</v>
      </c>
    </row>
    <row r="46" spans="1:13" x14ac:dyDescent="0.3">
      <c r="A46" s="1" t="s">
        <v>211</v>
      </c>
      <c r="B46" s="1" t="s">
        <v>203</v>
      </c>
      <c r="C46" s="1" t="s">
        <v>212</v>
      </c>
      <c r="D46" s="1" t="str">
        <f t="shared" si="2"/>
        <v>Colin Macdonald Stephens</v>
      </c>
      <c r="E46" s="1" t="str">
        <f t="shared" si="0"/>
        <v>COLIN MACDONALD STEPHENS</v>
      </c>
      <c r="F46" s="1" t="s">
        <v>213</v>
      </c>
      <c r="G46" s="1" t="s">
        <v>214</v>
      </c>
      <c r="H46" s="1" t="s">
        <v>15</v>
      </c>
      <c r="I46" s="1" t="s">
        <v>23</v>
      </c>
      <c r="J46">
        <v>30</v>
      </c>
      <c r="K46">
        <v>0</v>
      </c>
      <c r="L46">
        <f t="shared" si="1"/>
        <v>30</v>
      </c>
      <c r="M46" s="1" t="s">
        <v>17</v>
      </c>
    </row>
    <row r="47" spans="1:13" x14ac:dyDescent="0.3">
      <c r="A47" s="1" t="s">
        <v>215</v>
      </c>
      <c r="B47" s="1" t="s">
        <v>216</v>
      </c>
      <c r="C47" s="1" t="s">
        <v>217</v>
      </c>
      <c r="D47" s="1" t="str">
        <f t="shared" si="2"/>
        <v>Douglas Noble Andrews</v>
      </c>
      <c r="E47" s="1" t="str">
        <f t="shared" si="0"/>
        <v>DOUGLAS NOBLE ANDREWS</v>
      </c>
      <c r="F47" s="1" t="s">
        <v>218</v>
      </c>
      <c r="G47" s="1" t="s">
        <v>219</v>
      </c>
      <c r="H47" s="1" t="s">
        <v>15</v>
      </c>
      <c r="I47" s="1" t="s">
        <v>16</v>
      </c>
      <c r="J47">
        <v>44</v>
      </c>
      <c r="K47">
        <v>19</v>
      </c>
      <c r="L47">
        <f t="shared" si="1"/>
        <v>63</v>
      </c>
      <c r="M47" s="1" t="s">
        <v>17</v>
      </c>
    </row>
    <row r="48" spans="1:13" x14ac:dyDescent="0.3">
      <c r="A48" s="1" t="s">
        <v>220</v>
      </c>
      <c r="B48" s="1" t="s">
        <v>204</v>
      </c>
      <c r="C48" s="1" t="s">
        <v>216</v>
      </c>
      <c r="D48" s="1" t="str">
        <f t="shared" si="2"/>
        <v>Patrick Irwin Noble</v>
      </c>
      <c r="E48" s="1" t="str">
        <f t="shared" si="0"/>
        <v>PATRICK IRWIN NOBLE</v>
      </c>
      <c r="F48" s="1" t="s">
        <v>221</v>
      </c>
      <c r="G48" s="1" t="s">
        <v>222</v>
      </c>
      <c r="H48" s="1" t="s">
        <v>15</v>
      </c>
      <c r="I48" s="1" t="s">
        <v>16</v>
      </c>
      <c r="J48">
        <v>51</v>
      </c>
      <c r="K48">
        <v>20</v>
      </c>
      <c r="L48">
        <f t="shared" si="1"/>
        <v>71</v>
      </c>
      <c r="M48" s="1" t="s">
        <v>17</v>
      </c>
    </row>
    <row r="49" spans="1:13" x14ac:dyDescent="0.3">
      <c r="A49" s="1" t="s">
        <v>223</v>
      </c>
      <c r="B49" s="1" t="s">
        <v>204</v>
      </c>
      <c r="C49" s="1" t="s">
        <v>66</v>
      </c>
      <c r="D49" s="1" t="str">
        <f t="shared" si="2"/>
        <v>Francis Irwin Dale</v>
      </c>
      <c r="E49" s="1" t="str">
        <f t="shared" si="0"/>
        <v>FRANCIS IRWIN DALE</v>
      </c>
      <c r="F49" s="1" t="s">
        <v>224</v>
      </c>
      <c r="G49" s="1" t="s">
        <v>225</v>
      </c>
      <c r="H49" s="1" t="s">
        <v>15</v>
      </c>
      <c r="I49" s="1" t="s">
        <v>16</v>
      </c>
      <c r="J49">
        <v>44</v>
      </c>
      <c r="K49">
        <v>25</v>
      </c>
      <c r="L49">
        <f t="shared" si="1"/>
        <v>69</v>
      </c>
      <c r="M49" s="1" t="s">
        <v>17</v>
      </c>
    </row>
    <row r="50" spans="1:13" x14ac:dyDescent="0.3">
      <c r="A50" s="1" t="s">
        <v>75</v>
      </c>
      <c r="B50" s="1" t="s">
        <v>208</v>
      </c>
      <c r="C50" s="1" t="s">
        <v>20</v>
      </c>
      <c r="D50" s="1" t="str">
        <f t="shared" si="2"/>
        <v>Martin Bradley Carter</v>
      </c>
      <c r="E50" s="1" t="str">
        <f t="shared" si="0"/>
        <v>MARTIN BRADLEY CARTER</v>
      </c>
      <c r="F50" s="1" t="s">
        <v>226</v>
      </c>
      <c r="G50" s="1" t="s">
        <v>227</v>
      </c>
      <c r="H50" s="1" t="s">
        <v>15</v>
      </c>
      <c r="I50" s="1" t="s">
        <v>16</v>
      </c>
      <c r="J50">
        <v>26</v>
      </c>
      <c r="K50">
        <v>25</v>
      </c>
      <c r="L50">
        <f t="shared" si="1"/>
        <v>51</v>
      </c>
      <c r="M50" s="1" t="s">
        <v>17</v>
      </c>
    </row>
    <row r="51" spans="1:13" x14ac:dyDescent="0.3">
      <c r="A51" s="1" t="s">
        <v>228</v>
      </c>
      <c r="B51" s="1" t="s">
        <v>212</v>
      </c>
      <c r="C51" s="1" t="s">
        <v>26</v>
      </c>
      <c r="D51" s="1" t="str">
        <f t="shared" si="2"/>
        <v>Julian Stephens Hayes</v>
      </c>
      <c r="E51" s="1" t="str">
        <f t="shared" si="0"/>
        <v>JULIAN STEPHENS HAYES</v>
      </c>
      <c r="F51" s="1" t="s">
        <v>229</v>
      </c>
      <c r="G51" s="1" t="s">
        <v>230</v>
      </c>
      <c r="H51" s="1" t="s">
        <v>15</v>
      </c>
      <c r="I51" s="1" t="s">
        <v>16</v>
      </c>
      <c r="J51">
        <v>51</v>
      </c>
      <c r="K51">
        <v>23</v>
      </c>
      <c r="L51">
        <f t="shared" si="1"/>
        <v>74</v>
      </c>
      <c r="M51" s="1" t="s">
        <v>17</v>
      </c>
    </row>
    <row r="52" spans="1:13" x14ac:dyDescent="0.3">
      <c r="A52" s="1" t="s">
        <v>231</v>
      </c>
      <c r="B52" s="1" t="s">
        <v>204</v>
      </c>
      <c r="C52" s="1" t="s">
        <v>51</v>
      </c>
      <c r="D52" s="1" t="str">
        <f t="shared" si="2"/>
        <v>Christian Irwin Glover</v>
      </c>
      <c r="E52" s="1" t="str">
        <f t="shared" si="0"/>
        <v>CHRISTIAN IRWIN GLOVER</v>
      </c>
      <c r="F52" s="1" t="s">
        <v>232</v>
      </c>
      <c r="G52" s="1" t="s">
        <v>233</v>
      </c>
      <c r="H52" s="1" t="s">
        <v>15</v>
      </c>
      <c r="I52" s="1" t="s">
        <v>16</v>
      </c>
      <c r="J52">
        <v>58</v>
      </c>
      <c r="K52">
        <v>24</v>
      </c>
      <c r="L52">
        <f t="shared" si="1"/>
        <v>82</v>
      </c>
      <c r="M52" s="1" t="s">
        <v>17</v>
      </c>
    </row>
    <row r="53" spans="1:13" x14ac:dyDescent="0.3">
      <c r="A53" s="1" t="s">
        <v>234</v>
      </c>
      <c r="B53" s="1" t="s">
        <v>216</v>
      </c>
      <c r="C53" s="1" t="s">
        <v>170</v>
      </c>
      <c r="D53" s="1" t="str">
        <f t="shared" si="2"/>
        <v>Anne Noble Mercer</v>
      </c>
      <c r="E53" s="1" t="str">
        <f t="shared" si="0"/>
        <v>ANNE NOBLE MERCER</v>
      </c>
      <c r="F53" s="1" t="s">
        <v>235</v>
      </c>
      <c r="G53" s="1" t="s">
        <v>236</v>
      </c>
      <c r="H53" s="1" t="s">
        <v>15</v>
      </c>
      <c r="I53" s="1" t="s">
        <v>16</v>
      </c>
      <c r="J53">
        <v>34</v>
      </c>
      <c r="K53">
        <v>19</v>
      </c>
      <c r="L53">
        <f t="shared" si="1"/>
        <v>53</v>
      </c>
      <c r="M53" s="1" t="s">
        <v>17</v>
      </c>
    </row>
    <row r="54" spans="1:13" x14ac:dyDescent="0.3">
      <c r="A54" s="1" t="s">
        <v>237</v>
      </c>
      <c r="B54" s="1" t="s">
        <v>204</v>
      </c>
      <c r="C54" s="1" t="s">
        <v>76</v>
      </c>
      <c r="D54" s="1" t="str">
        <f t="shared" si="2"/>
        <v>Fiona Irwin Quinn</v>
      </c>
      <c r="E54" s="1" t="str">
        <f t="shared" si="0"/>
        <v>FIONA IRWIN QUINN</v>
      </c>
      <c r="F54" s="1" t="s">
        <v>238</v>
      </c>
      <c r="G54" s="1" t="s">
        <v>239</v>
      </c>
      <c r="H54" s="1" t="s">
        <v>15</v>
      </c>
      <c r="I54" s="1" t="s">
        <v>16</v>
      </c>
      <c r="J54">
        <v>31</v>
      </c>
      <c r="K54">
        <v>17</v>
      </c>
      <c r="L54">
        <f t="shared" si="1"/>
        <v>48</v>
      </c>
      <c r="M54" s="1" t="s">
        <v>17</v>
      </c>
    </row>
    <row r="55" spans="1:13" x14ac:dyDescent="0.3">
      <c r="A55" s="1" t="s">
        <v>240</v>
      </c>
      <c r="B55" s="1" t="s">
        <v>208</v>
      </c>
      <c r="C55" s="1" t="s">
        <v>91</v>
      </c>
      <c r="D55" s="1" t="str">
        <f t="shared" si="2"/>
        <v>Pauline Bradley Doyle</v>
      </c>
      <c r="E55" s="1" t="str">
        <f t="shared" si="0"/>
        <v>PAULINE BRADLEY DOYLE</v>
      </c>
      <c r="F55" s="1" t="s">
        <v>241</v>
      </c>
      <c r="G55" s="1" t="s">
        <v>242</v>
      </c>
      <c r="H55" s="1" t="s">
        <v>15</v>
      </c>
      <c r="I55" s="1" t="s">
        <v>16</v>
      </c>
      <c r="J55">
        <v>41</v>
      </c>
      <c r="K55">
        <v>19</v>
      </c>
      <c r="L55">
        <f t="shared" si="1"/>
        <v>60</v>
      </c>
      <c r="M55" s="1" t="s">
        <v>17</v>
      </c>
    </row>
    <row r="56" spans="1:13" x14ac:dyDescent="0.3">
      <c r="A56" s="1" t="s">
        <v>243</v>
      </c>
      <c r="B56" s="1" t="s">
        <v>212</v>
      </c>
      <c r="C56" s="1" t="s">
        <v>81</v>
      </c>
      <c r="D56" s="1" t="str">
        <f t="shared" si="2"/>
        <v>Molly Stephens Blake</v>
      </c>
      <c r="E56" s="1" t="str">
        <f t="shared" si="0"/>
        <v>MOLLY STEPHENS BLAKE</v>
      </c>
      <c r="F56" s="1" t="s">
        <v>244</v>
      </c>
      <c r="G56" s="1" t="s">
        <v>245</v>
      </c>
      <c r="H56" s="1" t="s">
        <v>15</v>
      </c>
      <c r="I56" s="1" t="s">
        <v>16</v>
      </c>
      <c r="J56">
        <v>38</v>
      </c>
      <c r="K56">
        <v>21</v>
      </c>
      <c r="L56">
        <f t="shared" si="1"/>
        <v>59</v>
      </c>
      <c r="M56" s="1" t="s">
        <v>17</v>
      </c>
    </row>
    <row r="57" spans="1:13" x14ac:dyDescent="0.3">
      <c r="A57" s="1" t="s">
        <v>246</v>
      </c>
      <c r="B57" s="1" t="s">
        <v>216</v>
      </c>
      <c r="C57" s="1" t="s">
        <v>86</v>
      </c>
      <c r="D57" s="1" t="str">
        <f t="shared" si="2"/>
        <v>Nancy Noble Shaw</v>
      </c>
      <c r="E57" s="1" t="str">
        <f t="shared" si="0"/>
        <v>NANCY NOBLE SHAW</v>
      </c>
      <c r="F57" s="1" t="s">
        <v>247</v>
      </c>
      <c r="G57" s="1" t="s">
        <v>248</v>
      </c>
      <c r="H57" s="1" t="s">
        <v>15</v>
      </c>
      <c r="I57" s="1" t="s">
        <v>16</v>
      </c>
      <c r="J57">
        <v>35</v>
      </c>
      <c r="K57">
        <v>24</v>
      </c>
      <c r="L57">
        <f t="shared" si="1"/>
        <v>59</v>
      </c>
      <c r="M57" s="1" t="s">
        <v>17</v>
      </c>
    </row>
    <row r="58" spans="1:13" x14ac:dyDescent="0.3">
      <c r="A58" s="1" t="s">
        <v>249</v>
      </c>
      <c r="B58" s="1" t="s">
        <v>250</v>
      </c>
      <c r="C58" s="1" t="s">
        <v>101</v>
      </c>
      <c r="D58" s="1" t="str">
        <f t="shared" si="2"/>
        <v>Robert Lane Nash</v>
      </c>
      <c r="E58" s="1" t="str">
        <f t="shared" si="0"/>
        <v>ROBERT LANE NASH</v>
      </c>
      <c r="F58" s="1" t="s">
        <v>251</v>
      </c>
      <c r="G58" s="1" t="s">
        <v>252</v>
      </c>
      <c r="H58" s="1" t="s">
        <v>15</v>
      </c>
      <c r="I58" s="1" t="s">
        <v>16</v>
      </c>
      <c r="J58">
        <v>42</v>
      </c>
      <c r="K58">
        <v>21</v>
      </c>
      <c r="L58">
        <f t="shared" si="1"/>
        <v>63</v>
      </c>
      <c r="M58" s="1" t="s">
        <v>17</v>
      </c>
    </row>
    <row r="59" spans="1:13" x14ac:dyDescent="0.3">
      <c r="A59" s="1" t="s">
        <v>253</v>
      </c>
      <c r="B59" s="1" t="s">
        <v>254</v>
      </c>
      <c r="C59" s="1" t="s">
        <v>66</v>
      </c>
      <c r="D59" s="1" t="str">
        <f t="shared" si="2"/>
        <v>Stephen Ford Dale</v>
      </c>
      <c r="E59" s="1" t="str">
        <f t="shared" si="0"/>
        <v>STEPHEN FORD DALE</v>
      </c>
      <c r="F59" s="1" t="s">
        <v>255</v>
      </c>
      <c r="G59" s="1" t="s">
        <v>256</v>
      </c>
      <c r="H59" s="1" t="s">
        <v>15</v>
      </c>
      <c r="I59" s="1" t="s">
        <v>23</v>
      </c>
      <c r="J59">
        <v>54</v>
      </c>
      <c r="K59">
        <v>0</v>
      </c>
      <c r="L59">
        <f t="shared" si="1"/>
        <v>54</v>
      </c>
      <c r="M59" s="1" t="s">
        <v>17</v>
      </c>
    </row>
    <row r="60" spans="1:13" x14ac:dyDescent="0.3">
      <c r="A60" s="1" t="s">
        <v>257</v>
      </c>
      <c r="B60" s="1" t="s">
        <v>101</v>
      </c>
      <c r="C60" s="1" t="s">
        <v>71</v>
      </c>
      <c r="D60" s="1" t="str">
        <f t="shared" si="2"/>
        <v>Anthony Nash Cole</v>
      </c>
      <c r="E60" s="1" t="str">
        <f t="shared" si="0"/>
        <v>ANTHONY NASH COLE</v>
      </c>
      <c r="F60" s="1" t="s">
        <v>258</v>
      </c>
      <c r="G60" s="1" t="s">
        <v>259</v>
      </c>
      <c r="H60" s="1" t="s">
        <v>15</v>
      </c>
      <c r="I60" s="1" t="s">
        <v>16</v>
      </c>
      <c r="J60">
        <v>32</v>
      </c>
      <c r="K60">
        <v>22</v>
      </c>
      <c r="L60">
        <f t="shared" si="1"/>
        <v>54</v>
      </c>
      <c r="M60" s="1" t="s">
        <v>17</v>
      </c>
    </row>
    <row r="61" spans="1:13" x14ac:dyDescent="0.3">
      <c r="A61" s="1" t="s">
        <v>260</v>
      </c>
      <c r="B61" s="1" t="s">
        <v>261</v>
      </c>
      <c r="C61" s="1" t="s">
        <v>76</v>
      </c>
      <c r="D61" s="1" t="str">
        <f t="shared" si="2"/>
        <v>Simon Burke Quinn</v>
      </c>
      <c r="E61" s="1" t="str">
        <f t="shared" si="0"/>
        <v>SIMON BURKE QUINN</v>
      </c>
      <c r="F61" s="1" t="s">
        <v>262</v>
      </c>
      <c r="G61" s="1" t="s">
        <v>263</v>
      </c>
      <c r="H61" s="1" t="s">
        <v>15</v>
      </c>
      <c r="I61" s="1" t="s">
        <v>16</v>
      </c>
      <c r="J61">
        <v>34</v>
      </c>
      <c r="K61">
        <v>22</v>
      </c>
      <c r="L61">
        <f t="shared" si="1"/>
        <v>56</v>
      </c>
      <c r="M61" s="1" t="s">
        <v>17</v>
      </c>
    </row>
    <row r="62" spans="1:13" x14ac:dyDescent="0.3">
      <c r="A62" s="1" t="s">
        <v>264</v>
      </c>
      <c r="B62" s="1" t="s">
        <v>71</v>
      </c>
      <c r="C62" s="1" t="s">
        <v>41</v>
      </c>
      <c r="D62" s="1" t="str">
        <f t="shared" si="2"/>
        <v>Timothy Cole Morton</v>
      </c>
      <c r="E62" s="1" t="str">
        <f t="shared" si="0"/>
        <v>TIMOTHY COLE MORTON</v>
      </c>
      <c r="F62" s="1" t="s">
        <v>265</v>
      </c>
      <c r="G62" s="1" t="s">
        <v>266</v>
      </c>
      <c r="H62" s="1" t="s">
        <v>15</v>
      </c>
      <c r="I62" s="1" t="s">
        <v>16</v>
      </c>
      <c r="J62">
        <v>24</v>
      </c>
      <c r="K62">
        <v>24</v>
      </c>
      <c r="L62">
        <f t="shared" si="1"/>
        <v>48</v>
      </c>
      <c r="M62" s="1" t="s">
        <v>17</v>
      </c>
    </row>
    <row r="63" spans="1:13" x14ac:dyDescent="0.3">
      <c r="A63" s="1" t="s">
        <v>267</v>
      </c>
      <c r="B63" s="1" t="s">
        <v>66</v>
      </c>
      <c r="C63" s="1" t="s">
        <v>128</v>
      </c>
      <c r="D63" s="1" t="str">
        <f t="shared" si="2"/>
        <v>Nicholas Dale Spencer</v>
      </c>
      <c r="E63" s="1" t="str">
        <f t="shared" si="0"/>
        <v>NICHOLAS DALE SPENCER</v>
      </c>
      <c r="F63" s="1" t="s">
        <v>268</v>
      </c>
      <c r="G63" s="1" t="s">
        <v>269</v>
      </c>
      <c r="H63" s="1" t="s">
        <v>15</v>
      </c>
      <c r="I63" s="1" t="s">
        <v>16</v>
      </c>
      <c r="J63">
        <v>37</v>
      </c>
      <c r="K63">
        <v>24</v>
      </c>
      <c r="L63">
        <f t="shared" si="1"/>
        <v>61</v>
      </c>
      <c r="M63" s="1" t="s">
        <v>17</v>
      </c>
    </row>
    <row r="64" spans="1:13" x14ac:dyDescent="0.3">
      <c r="A64" s="1" t="s">
        <v>270</v>
      </c>
      <c r="B64" s="1" t="s">
        <v>271</v>
      </c>
      <c r="C64" s="1" t="s">
        <v>111</v>
      </c>
      <c r="D64" s="1" t="str">
        <f t="shared" si="2"/>
        <v>Marcus Hunt Fleming</v>
      </c>
      <c r="E64" s="1" t="str">
        <f t="shared" si="0"/>
        <v>MARCUS HUNT FLEMING</v>
      </c>
      <c r="F64" s="1" t="s">
        <v>272</v>
      </c>
      <c r="G64" s="1" t="s">
        <v>273</v>
      </c>
      <c r="H64" s="1" t="s">
        <v>15</v>
      </c>
      <c r="I64" s="1" t="s">
        <v>16</v>
      </c>
      <c r="J64">
        <v>28</v>
      </c>
      <c r="K64">
        <v>24</v>
      </c>
      <c r="L64">
        <f t="shared" si="1"/>
        <v>52</v>
      </c>
      <c r="M64" s="1" t="s">
        <v>17</v>
      </c>
    </row>
    <row r="65" spans="1:13" x14ac:dyDescent="0.3">
      <c r="A65" s="1" t="s">
        <v>274</v>
      </c>
      <c r="B65" s="1" t="s">
        <v>275</v>
      </c>
      <c r="C65" s="1" t="s">
        <v>61</v>
      </c>
      <c r="D65" s="1" t="str">
        <f t="shared" si="2"/>
        <v>Philip Lowe Marshall</v>
      </c>
      <c r="E65" s="1" t="str">
        <f t="shared" si="0"/>
        <v>PHILIP LOWE MARSHALL</v>
      </c>
      <c r="F65" s="1" t="s">
        <v>276</v>
      </c>
      <c r="G65" s="1" t="s">
        <v>277</v>
      </c>
      <c r="H65" s="1" t="s">
        <v>15</v>
      </c>
      <c r="I65" s="1" t="s">
        <v>23</v>
      </c>
      <c r="J65">
        <v>53</v>
      </c>
      <c r="K65">
        <v>0</v>
      </c>
      <c r="L65">
        <f t="shared" si="1"/>
        <v>53</v>
      </c>
      <c r="M65" s="1" t="s">
        <v>17</v>
      </c>
    </row>
    <row r="66" spans="1:13" x14ac:dyDescent="0.3">
      <c r="A66" s="1" t="s">
        <v>278</v>
      </c>
      <c r="B66" s="1" t="s">
        <v>106</v>
      </c>
      <c r="C66" s="1" t="s">
        <v>56</v>
      </c>
      <c r="D66" s="1" t="str">
        <f t="shared" si="2"/>
        <v>Dominic Wyatt Price</v>
      </c>
      <c r="E66" s="1" t="str">
        <f t="shared" si="0"/>
        <v>DOMINIC WYATT PRICE</v>
      </c>
      <c r="F66" s="1" t="s">
        <v>279</v>
      </c>
      <c r="G66" s="1" t="s">
        <v>280</v>
      </c>
      <c r="H66" s="1" t="s">
        <v>15</v>
      </c>
      <c r="I66" s="1" t="s">
        <v>16</v>
      </c>
      <c r="J66">
        <v>63</v>
      </c>
      <c r="K66">
        <v>20</v>
      </c>
      <c r="L66">
        <f t="shared" si="1"/>
        <v>83</v>
      </c>
      <c r="M66" s="1" t="s">
        <v>17</v>
      </c>
    </row>
    <row r="67" spans="1:13" x14ac:dyDescent="0.3">
      <c r="A67" s="1" t="s">
        <v>281</v>
      </c>
      <c r="B67" s="1" t="s">
        <v>282</v>
      </c>
      <c r="C67" s="1" t="s">
        <v>36</v>
      </c>
      <c r="D67" s="1" t="str">
        <f t="shared" si="2"/>
        <v>Jeremy Page Reed</v>
      </c>
      <c r="E67" s="1" t="str">
        <f t="shared" ref="E67:E130" si="3">UPPER(D67)</f>
        <v>JEREMY PAGE REED</v>
      </c>
      <c r="F67" s="1" t="s">
        <v>283</v>
      </c>
      <c r="G67" s="1" t="s">
        <v>284</v>
      </c>
      <c r="H67" s="1" t="s">
        <v>15</v>
      </c>
      <c r="I67" s="1" t="s">
        <v>16</v>
      </c>
      <c r="J67">
        <v>61</v>
      </c>
      <c r="K67">
        <v>21</v>
      </c>
      <c r="L67">
        <f t="shared" ref="L67:L130" si="4">SUM(J67,K67)</f>
        <v>82</v>
      </c>
      <c r="M67" s="1" t="s">
        <v>17</v>
      </c>
    </row>
    <row r="68" spans="1:13" x14ac:dyDescent="0.3">
      <c r="A68" s="1" t="s">
        <v>285</v>
      </c>
      <c r="B68" s="1" t="s">
        <v>275</v>
      </c>
      <c r="C68" s="1" t="s">
        <v>139</v>
      </c>
      <c r="D68" s="1" t="str">
        <f t="shared" ref="D68:D131" si="5">CONCATENATE(A68," ",B68," ",C68)</f>
        <v>Rachel Lowe Frost</v>
      </c>
      <c r="E68" s="1" t="str">
        <f t="shared" si="3"/>
        <v>RACHEL LOWE FROST</v>
      </c>
      <c r="F68" s="1" t="s">
        <v>286</v>
      </c>
      <c r="G68" s="1" t="s">
        <v>287</v>
      </c>
      <c r="H68" s="1" t="s">
        <v>15</v>
      </c>
      <c r="I68" s="1" t="s">
        <v>16</v>
      </c>
      <c r="J68">
        <v>34</v>
      </c>
      <c r="K68">
        <v>20</v>
      </c>
      <c r="L68">
        <f t="shared" si="4"/>
        <v>54</v>
      </c>
      <c r="M68" s="1" t="s">
        <v>109</v>
      </c>
    </row>
    <row r="69" spans="1:13" x14ac:dyDescent="0.3">
      <c r="A69" s="1" t="s">
        <v>288</v>
      </c>
      <c r="B69" s="1" t="s">
        <v>106</v>
      </c>
      <c r="C69" s="1" t="s">
        <v>143</v>
      </c>
      <c r="D69" s="1" t="str">
        <f t="shared" si="5"/>
        <v>Rebecca Wyatt Chase</v>
      </c>
      <c r="E69" s="1" t="str">
        <f t="shared" si="3"/>
        <v>REBECCA WYATT CHASE</v>
      </c>
      <c r="F69" s="1" t="s">
        <v>289</v>
      </c>
      <c r="G69" s="1" t="s">
        <v>290</v>
      </c>
      <c r="H69" s="1" t="s">
        <v>15</v>
      </c>
      <c r="I69" s="1" t="s">
        <v>16</v>
      </c>
      <c r="J69">
        <v>33</v>
      </c>
      <c r="K69">
        <v>25</v>
      </c>
      <c r="L69">
        <f t="shared" si="4"/>
        <v>58</v>
      </c>
      <c r="M69" s="1" t="s">
        <v>17</v>
      </c>
    </row>
    <row r="70" spans="1:13" x14ac:dyDescent="0.3">
      <c r="A70" s="1" t="s">
        <v>291</v>
      </c>
      <c r="B70" s="1" t="s">
        <v>66</v>
      </c>
      <c r="C70" s="1" t="s">
        <v>147</v>
      </c>
      <c r="D70" s="1" t="str">
        <f t="shared" si="5"/>
        <v>Claire Dale Barrett</v>
      </c>
      <c r="E70" s="1" t="str">
        <f t="shared" si="3"/>
        <v>CLAIRE DALE BARRETT</v>
      </c>
      <c r="F70" s="1" t="s">
        <v>292</v>
      </c>
      <c r="G70" s="1" t="s">
        <v>293</v>
      </c>
      <c r="H70" s="1" t="s">
        <v>15</v>
      </c>
      <c r="I70" s="1" t="s">
        <v>16</v>
      </c>
      <c r="J70">
        <v>46</v>
      </c>
      <c r="K70">
        <v>19</v>
      </c>
      <c r="L70">
        <f t="shared" si="4"/>
        <v>65</v>
      </c>
      <c r="M70" s="1" t="s">
        <v>17</v>
      </c>
    </row>
    <row r="71" spans="1:13" x14ac:dyDescent="0.3">
      <c r="A71" s="1" t="s">
        <v>294</v>
      </c>
      <c r="B71" s="1" t="s">
        <v>101</v>
      </c>
      <c r="C71" s="1" t="s">
        <v>151</v>
      </c>
      <c r="D71" s="1" t="str">
        <f t="shared" si="5"/>
        <v>Louise Nash Rhodes</v>
      </c>
      <c r="E71" s="1" t="str">
        <f t="shared" si="3"/>
        <v>LOUISE NASH RHODES</v>
      </c>
      <c r="F71" s="1" t="s">
        <v>295</v>
      </c>
      <c r="G71" s="1" t="s">
        <v>296</v>
      </c>
      <c r="H71" s="1" t="s">
        <v>15</v>
      </c>
      <c r="I71" s="1" t="s">
        <v>16</v>
      </c>
      <c r="J71">
        <v>58</v>
      </c>
      <c r="K71">
        <v>23</v>
      </c>
      <c r="L71">
        <f t="shared" si="4"/>
        <v>81</v>
      </c>
      <c r="M71" s="1" t="s">
        <v>17</v>
      </c>
    </row>
    <row r="72" spans="1:13" x14ac:dyDescent="0.3">
      <c r="A72" s="1" t="s">
        <v>297</v>
      </c>
      <c r="B72" s="1" t="s">
        <v>71</v>
      </c>
      <c r="C72" s="1" t="s">
        <v>119</v>
      </c>
      <c r="D72" s="1" t="str">
        <f t="shared" si="5"/>
        <v>Emma Cole Carr</v>
      </c>
      <c r="E72" s="1" t="str">
        <f t="shared" si="3"/>
        <v>EMMA COLE CARR</v>
      </c>
      <c r="F72" s="1" t="s">
        <v>298</v>
      </c>
      <c r="G72" s="1" t="s">
        <v>299</v>
      </c>
      <c r="H72" s="1" t="s">
        <v>15</v>
      </c>
      <c r="I72" s="1" t="s">
        <v>16</v>
      </c>
      <c r="J72">
        <v>55</v>
      </c>
      <c r="K72">
        <v>16</v>
      </c>
      <c r="L72">
        <f t="shared" si="4"/>
        <v>71</v>
      </c>
      <c r="M72" s="1" t="s">
        <v>17</v>
      </c>
    </row>
    <row r="73" spans="1:13" x14ac:dyDescent="0.3">
      <c r="A73" s="1" t="s">
        <v>300</v>
      </c>
      <c r="B73" s="1" t="s">
        <v>271</v>
      </c>
      <c r="C73" s="1" t="s">
        <v>159</v>
      </c>
      <c r="D73" s="1" t="str">
        <f t="shared" si="5"/>
        <v>Paula Hunt Neale</v>
      </c>
      <c r="E73" s="1" t="str">
        <f t="shared" si="3"/>
        <v>PAULA HUNT NEALE</v>
      </c>
      <c r="F73" s="1" t="s">
        <v>301</v>
      </c>
      <c r="G73" s="1" t="s">
        <v>302</v>
      </c>
      <c r="H73" s="1" t="s">
        <v>15</v>
      </c>
      <c r="I73" s="1" t="s">
        <v>16</v>
      </c>
      <c r="J73">
        <v>51</v>
      </c>
      <c r="K73">
        <v>18</v>
      </c>
      <c r="L73">
        <f t="shared" si="4"/>
        <v>69</v>
      </c>
      <c r="M73" s="1" t="s">
        <v>17</v>
      </c>
    </row>
    <row r="74" spans="1:13" x14ac:dyDescent="0.3">
      <c r="A74" s="1" t="s">
        <v>303</v>
      </c>
      <c r="B74" s="1" t="s">
        <v>183</v>
      </c>
      <c r="C74" s="1" t="s">
        <v>170</v>
      </c>
      <c r="D74" s="1" t="str">
        <f t="shared" si="5"/>
        <v>Linda Poole Mercer</v>
      </c>
      <c r="E74" s="1" t="str">
        <f t="shared" si="3"/>
        <v>LINDA POOLE MERCER</v>
      </c>
      <c r="F74" s="1" t="s">
        <v>304</v>
      </c>
      <c r="G74" s="1" t="s">
        <v>305</v>
      </c>
      <c r="H74" s="1" t="s">
        <v>15</v>
      </c>
      <c r="I74" s="1" t="s">
        <v>16</v>
      </c>
      <c r="J74">
        <v>13</v>
      </c>
      <c r="K74">
        <v>17</v>
      </c>
      <c r="L74">
        <f t="shared" si="4"/>
        <v>30</v>
      </c>
      <c r="M74" s="1" t="s">
        <v>17</v>
      </c>
    </row>
    <row r="75" spans="1:13" x14ac:dyDescent="0.3">
      <c r="A75" s="1" t="s">
        <v>306</v>
      </c>
      <c r="B75" s="1" t="s">
        <v>188</v>
      </c>
      <c r="C75" s="1" t="s">
        <v>76</v>
      </c>
      <c r="D75" s="1" t="str">
        <f t="shared" si="5"/>
        <v>Laura Hart Quinn</v>
      </c>
      <c r="E75" s="1" t="str">
        <f t="shared" si="3"/>
        <v>LAURA HART QUINN</v>
      </c>
      <c r="F75" s="1" t="s">
        <v>307</v>
      </c>
      <c r="G75" s="1" t="s">
        <v>308</v>
      </c>
      <c r="H75" s="1" t="s">
        <v>15</v>
      </c>
      <c r="I75" s="1" t="s">
        <v>16</v>
      </c>
      <c r="J75">
        <v>31</v>
      </c>
      <c r="K75">
        <v>23</v>
      </c>
      <c r="L75">
        <f t="shared" si="4"/>
        <v>54</v>
      </c>
      <c r="M75" s="1" t="s">
        <v>17</v>
      </c>
    </row>
    <row r="76" spans="1:13" x14ac:dyDescent="0.3">
      <c r="A76" s="1" t="s">
        <v>309</v>
      </c>
      <c r="B76" s="1" t="s">
        <v>310</v>
      </c>
      <c r="C76" s="1" t="s">
        <v>20</v>
      </c>
      <c r="D76" s="1" t="str">
        <f t="shared" si="5"/>
        <v>Ethan Brooks Carter</v>
      </c>
      <c r="E76" s="1" t="str">
        <f t="shared" si="3"/>
        <v>ETHAN BROOKS CARTER</v>
      </c>
      <c r="F76" s="1" t="s">
        <v>311</v>
      </c>
      <c r="G76" s="1" t="s">
        <v>312</v>
      </c>
      <c r="H76" s="1" t="s">
        <v>15</v>
      </c>
      <c r="I76" s="1" t="s">
        <v>16</v>
      </c>
      <c r="J76">
        <v>37</v>
      </c>
      <c r="K76">
        <v>23</v>
      </c>
      <c r="L76">
        <f t="shared" si="4"/>
        <v>60</v>
      </c>
      <c r="M76" s="1" t="s">
        <v>17</v>
      </c>
    </row>
    <row r="77" spans="1:13" x14ac:dyDescent="0.3">
      <c r="A77" s="1" t="s">
        <v>313</v>
      </c>
      <c r="B77" s="1" t="s">
        <v>310</v>
      </c>
      <c r="C77" s="1" t="s">
        <v>66</v>
      </c>
      <c r="D77" s="1" t="str">
        <f t="shared" si="5"/>
        <v>Logan Brooks Dale</v>
      </c>
      <c r="E77" s="1" t="str">
        <f t="shared" si="3"/>
        <v>LOGAN BROOKS DALE</v>
      </c>
      <c r="F77" s="1" t="s">
        <v>314</v>
      </c>
      <c r="G77" s="1" t="s">
        <v>315</v>
      </c>
      <c r="H77" s="1" t="s">
        <v>15</v>
      </c>
      <c r="I77" s="1" t="s">
        <v>16</v>
      </c>
      <c r="J77">
        <v>49</v>
      </c>
      <c r="K77">
        <v>25</v>
      </c>
      <c r="L77">
        <f t="shared" si="4"/>
        <v>74</v>
      </c>
      <c r="M77" s="1" t="s">
        <v>17</v>
      </c>
    </row>
    <row r="78" spans="1:13" x14ac:dyDescent="0.3">
      <c r="A78" s="1" t="s">
        <v>192</v>
      </c>
      <c r="B78" s="1" t="s">
        <v>310</v>
      </c>
      <c r="C78" s="1" t="s">
        <v>26</v>
      </c>
      <c r="D78" s="1" t="str">
        <f t="shared" si="5"/>
        <v>Mason Brooks Hayes</v>
      </c>
      <c r="E78" s="1" t="str">
        <f t="shared" si="3"/>
        <v>MASON BROOKS HAYES</v>
      </c>
      <c r="F78" s="1" t="s">
        <v>316</v>
      </c>
      <c r="G78" s="1" t="s">
        <v>317</v>
      </c>
      <c r="H78" s="1" t="s">
        <v>15</v>
      </c>
      <c r="I78" s="1" t="s">
        <v>16</v>
      </c>
      <c r="J78">
        <v>42</v>
      </c>
      <c r="K78">
        <v>20</v>
      </c>
      <c r="L78">
        <f t="shared" si="4"/>
        <v>62</v>
      </c>
      <c r="M78" s="1" t="s">
        <v>17</v>
      </c>
    </row>
    <row r="79" spans="1:13" x14ac:dyDescent="0.3">
      <c r="A79" s="1" t="s">
        <v>318</v>
      </c>
      <c r="B79" s="1" t="s">
        <v>310</v>
      </c>
      <c r="C79" s="1" t="s">
        <v>86</v>
      </c>
      <c r="D79" s="1" t="str">
        <f t="shared" si="5"/>
        <v>Ava Brooks Shaw</v>
      </c>
      <c r="E79" s="1" t="str">
        <f t="shared" si="3"/>
        <v>AVA BROOKS SHAW</v>
      </c>
      <c r="F79" s="1" t="s">
        <v>319</v>
      </c>
      <c r="G79" s="1" t="s">
        <v>320</v>
      </c>
      <c r="H79" s="1" t="s">
        <v>15</v>
      </c>
      <c r="I79" s="1" t="s">
        <v>16</v>
      </c>
      <c r="J79">
        <v>32</v>
      </c>
      <c r="K79">
        <v>22</v>
      </c>
      <c r="L79">
        <f t="shared" si="4"/>
        <v>54</v>
      </c>
      <c r="M79" s="1" t="s">
        <v>17</v>
      </c>
    </row>
    <row r="80" spans="1:13" x14ac:dyDescent="0.3">
      <c r="A80" s="1" t="s">
        <v>321</v>
      </c>
      <c r="B80" s="1" t="s">
        <v>310</v>
      </c>
      <c r="C80" s="1" t="s">
        <v>76</v>
      </c>
      <c r="D80" s="1" t="str">
        <f t="shared" si="5"/>
        <v>Mia Brooks Quinn</v>
      </c>
      <c r="E80" s="1" t="str">
        <f t="shared" si="3"/>
        <v>MIA BROOKS QUINN</v>
      </c>
      <c r="F80" s="1" t="s">
        <v>322</v>
      </c>
      <c r="G80" s="1" t="s">
        <v>323</v>
      </c>
      <c r="H80" s="1" t="s">
        <v>15</v>
      </c>
      <c r="I80" s="1" t="s">
        <v>16</v>
      </c>
      <c r="J80">
        <v>65</v>
      </c>
      <c r="K80">
        <v>18</v>
      </c>
      <c r="L80">
        <f t="shared" si="4"/>
        <v>83</v>
      </c>
      <c r="M80" s="1" t="s">
        <v>17</v>
      </c>
    </row>
    <row r="81" spans="1:13" x14ac:dyDescent="0.3">
      <c r="A81" s="1" t="s">
        <v>324</v>
      </c>
      <c r="B81" s="1" t="s">
        <v>310</v>
      </c>
      <c r="C81" s="1" t="s">
        <v>81</v>
      </c>
      <c r="D81" s="1" t="str">
        <f t="shared" si="5"/>
        <v>Jacob Brooks Blake</v>
      </c>
      <c r="E81" s="1" t="str">
        <f t="shared" si="3"/>
        <v>JACOB BROOKS BLAKE</v>
      </c>
      <c r="F81" s="1" t="s">
        <v>325</v>
      </c>
      <c r="G81" s="1" t="s">
        <v>326</v>
      </c>
      <c r="H81" s="1" t="s">
        <v>15</v>
      </c>
      <c r="I81" s="1" t="s">
        <v>16</v>
      </c>
      <c r="J81">
        <v>46</v>
      </c>
      <c r="K81">
        <v>21</v>
      </c>
      <c r="L81">
        <f t="shared" si="4"/>
        <v>67</v>
      </c>
      <c r="M81" s="1" t="s">
        <v>17</v>
      </c>
    </row>
    <row r="82" spans="1:13" x14ac:dyDescent="0.3">
      <c r="A82" s="1" t="s">
        <v>327</v>
      </c>
      <c r="B82" s="1" t="s">
        <v>310</v>
      </c>
      <c r="C82" s="1" t="s">
        <v>51</v>
      </c>
      <c r="D82" s="1" t="str">
        <f t="shared" si="5"/>
        <v>Lucas Brooks Glover</v>
      </c>
      <c r="E82" s="1" t="str">
        <f t="shared" si="3"/>
        <v>LUCAS BROOKS GLOVER</v>
      </c>
      <c r="F82" s="1" t="s">
        <v>328</v>
      </c>
      <c r="G82" s="1" t="s">
        <v>329</v>
      </c>
      <c r="H82" s="1" t="s">
        <v>15</v>
      </c>
      <c r="I82" s="1" t="s">
        <v>16</v>
      </c>
      <c r="J82">
        <v>42</v>
      </c>
      <c r="K82">
        <v>19</v>
      </c>
      <c r="L82">
        <f t="shared" si="4"/>
        <v>61</v>
      </c>
      <c r="M82" s="1" t="s">
        <v>17</v>
      </c>
    </row>
    <row r="83" spans="1:13" x14ac:dyDescent="0.3">
      <c r="A83" s="1" t="s">
        <v>330</v>
      </c>
      <c r="B83" s="1" t="s">
        <v>310</v>
      </c>
      <c r="C83" s="1" t="s">
        <v>170</v>
      </c>
      <c r="D83" s="1" t="str">
        <f t="shared" si="5"/>
        <v>Freya Brooks Mercer</v>
      </c>
      <c r="E83" s="1" t="str">
        <f t="shared" si="3"/>
        <v>FREYA BROOKS MERCER</v>
      </c>
      <c r="F83" s="1" t="s">
        <v>331</v>
      </c>
      <c r="G83" s="1" t="s">
        <v>332</v>
      </c>
      <c r="H83" s="1" t="s">
        <v>15</v>
      </c>
      <c r="I83" s="1" t="s">
        <v>16</v>
      </c>
      <c r="J83">
        <v>63</v>
      </c>
      <c r="K83">
        <v>20</v>
      </c>
      <c r="L83">
        <f t="shared" si="4"/>
        <v>83</v>
      </c>
      <c r="M83" s="1" t="s">
        <v>17</v>
      </c>
    </row>
    <row r="84" spans="1:13" x14ac:dyDescent="0.3">
      <c r="A84" s="1" t="s">
        <v>333</v>
      </c>
      <c r="B84" s="1" t="s">
        <v>310</v>
      </c>
      <c r="C84" s="1" t="s">
        <v>101</v>
      </c>
      <c r="D84" s="1" t="str">
        <f t="shared" si="5"/>
        <v>Dylan Brooks Nash</v>
      </c>
      <c r="E84" s="1" t="str">
        <f t="shared" si="3"/>
        <v>DYLAN BROOKS NASH</v>
      </c>
      <c r="F84" s="1" t="s">
        <v>334</v>
      </c>
      <c r="G84" s="1" t="s">
        <v>335</v>
      </c>
      <c r="H84" s="1" t="s">
        <v>15</v>
      </c>
      <c r="I84" s="1" t="s">
        <v>16</v>
      </c>
      <c r="J84">
        <v>54</v>
      </c>
      <c r="K84">
        <v>24</v>
      </c>
      <c r="L84">
        <f t="shared" si="4"/>
        <v>78</v>
      </c>
      <c r="M84" s="1" t="s">
        <v>17</v>
      </c>
    </row>
    <row r="85" spans="1:13" x14ac:dyDescent="0.3">
      <c r="A85" s="1" t="s">
        <v>336</v>
      </c>
      <c r="B85" s="1" t="s">
        <v>310</v>
      </c>
      <c r="C85" s="1" t="s">
        <v>41</v>
      </c>
      <c r="D85" s="1" t="str">
        <f t="shared" si="5"/>
        <v>Caleb Brooks Morton</v>
      </c>
      <c r="E85" s="1" t="str">
        <f t="shared" si="3"/>
        <v>CALEB BROOKS MORTON</v>
      </c>
      <c r="F85" s="1" t="s">
        <v>337</v>
      </c>
      <c r="G85" s="1" t="s">
        <v>338</v>
      </c>
      <c r="H85" s="1" t="s">
        <v>15</v>
      </c>
      <c r="I85" s="1" t="s">
        <v>16</v>
      </c>
      <c r="J85">
        <v>65</v>
      </c>
      <c r="K85">
        <v>21</v>
      </c>
      <c r="L85">
        <f t="shared" si="4"/>
        <v>86</v>
      </c>
      <c r="M85" s="1" t="s">
        <v>17</v>
      </c>
    </row>
    <row r="86" spans="1:13" x14ac:dyDescent="0.3">
      <c r="A86" s="1" t="s">
        <v>339</v>
      </c>
      <c r="B86" s="1" t="s">
        <v>192</v>
      </c>
      <c r="C86" s="1" t="s">
        <v>12</v>
      </c>
      <c r="D86" s="1" t="str">
        <f t="shared" si="5"/>
        <v>Frederick Mason Whitman</v>
      </c>
      <c r="E86" s="1" t="str">
        <f t="shared" si="3"/>
        <v>FREDERICK MASON WHITMAN</v>
      </c>
      <c r="F86" s="1" t="s">
        <v>340</v>
      </c>
      <c r="G86" s="1" t="s">
        <v>341</v>
      </c>
      <c r="H86" s="1" t="s">
        <v>15</v>
      </c>
      <c r="I86" s="1" t="s">
        <v>16</v>
      </c>
      <c r="J86">
        <v>59</v>
      </c>
      <c r="K86">
        <v>18</v>
      </c>
      <c r="L86">
        <f t="shared" si="4"/>
        <v>77</v>
      </c>
      <c r="M86" s="1" t="s">
        <v>17</v>
      </c>
    </row>
    <row r="87" spans="1:13" x14ac:dyDescent="0.3">
      <c r="A87" s="1" t="s">
        <v>342</v>
      </c>
      <c r="B87" s="1" t="s">
        <v>192</v>
      </c>
      <c r="C87" s="1" t="s">
        <v>20</v>
      </c>
      <c r="D87" s="1" t="str">
        <f t="shared" si="5"/>
        <v>Theodore Mason Carter</v>
      </c>
      <c r="E87" s="1" t="str">
        <f t="shared" si="3"/>
        <v>THEODORE MASON CARTER</v>
      </c>
      <c r="F87" s="1" t="s">
        <v>343</v>
      </c>
      <c r="G87" s="1" t="s">
        <v>344</v>
      </c>
      <c r="H87" s="1" t="s">
        <v>15</v>
      </c>
      <c r="I87" s="1" t="s">
        <v>16</v>
      </c>
      <c r="J87">
        <v>44</v>
      </c>
      <c r="K87">
        <v>17</v>
      </c>
      <c r="L87">
        <f t="shared" si="4"/>
        <v>61</v>
      </c>
      <c r="M87" s="1" t="s">
        <v>17</v>
      </c>
    </row>
    <row r="88" spans="1:13" x14ac:dyDescent="0.3">
      <c r="A88" s="1" t="s">
        <v>345</v>
      </c>
      <c r="B88" s="1" t="s">
        <v>192</v>
      </c>
      <c r="C88" s="1" t="s">
        <v>36</v>
      </c>
      <c r="D88" s="1" t="str">
        <f t="shared" si="5"/>
        <v>Sebastian Mason Reed</v>
      </c>
      <c r="E88" s="1" t="str">
        <f t="shared" si="3"/>
        <v>SEBASTIAN MASON REED</v>
      </c>
      <c r="F88" s="1" t="s">
        <v>346</v>
      </c>
      <c r="G88" s="1" t="s">
        <v>347</v>
      </c>
      <c r="H88" s="1" t="s">
        <v>15</v>
      </c>
      <c r="I88" s="1" t="s">
        <v>16</v>
      </c>
      <c r="J88">
        <v>70</v>
      </c>
      <c r="K88">
        <v>25</v>
      </c>
      <c r="L88">
        <f t="shared" si="4"/>
        <v>95</v>
      </c>
      <c r="M88" s="1" t="s">
        <v>17</v>
      </c>
    </row>
    <row r="89" spans="1:13" x14ac:dyDescent="0.3">
      <c r="A89" s="1" t="s">
        <v>348</v>
      </c>
      <c r="B89" s="1" t="s">
        <v>192</v>
      </c>
      <c r="C89" s="1" t="s">
        <v>26</v>
      </c>
      <c r="D89" s="1" t="str">
        <f t="shared" si="5"/>
        <v>Eliza Mason Hayes</v>
      </c>
      <c r="E89" s="1" t="str">
        <f t="shared" si="3"/>
        <v>ELIZA MASON HAYES</v>
      </c>
      <c r="F89" s="1" t="s">
        <v>349</v>
      </c>
      <c r="G89" s="1" t="s">
        <v>350</v>
      </c>
      <c r="H89" s="1" t="s">
        <v>15</v>
      </c>
      <c r="I89" s="1" t="s">
        <v>16</v>
      </c>
      <c r="J89">
        <v>34</v>
      </c>
      <c r="K89">
        <v>25</v>
      </c>
      <c r="L89">
        <f t="shared" si="4"/>
        <v>59</v>
      </c>
      <c r="M89" s="1" t="s">
        <v>17</v>
      </c>
    </row>
    <row r="90" spans="1:13" x14ac:dyDescent="0.3">
      <c r="A90" s="1" t="s">
        <v>351</v>
      </c>
      <c r="B90" s="1" t="s">
        <v>192</v>
      </c>
      <c r="C90" s="1" t="s">
        <v>66</v>
      </c>
      <c r="D90" s="1" t="str">
        <f t="shared" si="5"/>
        <v>Imogen Mason Dale</v>
      </c>
      <c r="E90" s="1" t="str">
        <f t="shared" si="3"/>
        <v>IMOGEN MASON DALE</v>
      </c>
      <c r="F90" s="1" t="s">
        <v>352</v>
      </c>
      <c r="G90" s="1" t="s">
        <v>353</v>
      </c>
      <c r="H90" s="1" t="s">
        <v>15</v>
      </c>
      <c r="I90" s="1" t="s">
        <v>16</v>
      </c>
      <c r="J90">
        <v>41</v>
      </c>
      <c r="K90">
        <v>24</v>
      </c>
      <c r="L90">
        <f t="shared" si="4"/>
        <v>65</v>
      </c>
      <c r="M90" s="1" t="s">
        <v>17</v>
      </c>
    </row>
    <row r="91" spans="1:13" x14ac:dyDescent="0.3">
      <c r="A91" s="1" t="s">
        <v>354</v>
      </c>
      <c r="B91" s="1" t="s">
        <v>192</v>
      </c>
      <c r="C91" s="1" t="s">
        <v>128</v>
      </c>
      <c r="D91" s="1" t="str">
        <f t="shared" si="5"/>
        <v>Rupert Mason Spencer</v>
      </c>
      <c r="E91" s="1" t="str">
        <f t="shared" si="3"/>
        <v>RUPERT MASON SPENCER</v>
      </c>
      <c r="F91" s="1" t="s">
        <v>355</v>
      </c>
      <c r="G91" s="1" t="s">
        <v>356</v>
      </c>
      <c r="H91" s="1" t="s">
        <v>15</v>
      </c>
      <c r="I91" s="1" t="s">
        <v>16</v>
      </c>
      <c r="J91">
        <v>36</v>
      </c>
      <c r="K91">
        <v>23</v>
      </c>
      <c r="L91">
        <f t="shared" si="4"/>
        <v>59</v>
      </c>
      <c r="M91" s="1" t="s">
        <v>17</v>
      </c>
    </row>
    <row r="92" spans="1:13" x14ac:dyDescent="0.3">
      <c r="A92" s="1" t="s">
        <v>357</v>
      </c>
      <c r="B92" s="1" t="s">
        <v>192</v>
      </c>
      <c r="C92" s="1" t="s">
        <v>105</v>
      </c>
      <c r="D92" s="1" t="str">
        <f t="shared" si="5"/>
        <v>Alfred Mason Grant</v>
      </c>
      <c r="E92" s="1" t="str">
        <f t="shared" si="3"/>
        <v>ALFRED MASON GRANT</v>
      </c>
      <c r="F92" s="1" t="s">
        <v>358</v>
      </c>
      <c r="G92" s="1" t="s">
        <v>359</v>
      </c>
      <c r="H92" s="1" t="s">
        <v>15</v>
      </c>
      <c r="I92" s="1" t="s">
        <v>23</v>
      </c>
      <c r="J92">
        <v>60</v>
      </c>
      <c r="K92">
        <v>0</v>
      </c>
      <c r="L92">
        <f t="shared" si="4"/>
        <v>60</v>
      </c>
      <c r="M92" s="1" t="s">
        <v>17</v>
      </c>
    </row>
    <row r="93" spans="1:13" x14ac:dyDescent="0.3">
      <c r="A93" s="1" t="s">
        <v>360</v>
      </c>
      <c r="B93" s="1" t="s">
        <v>192</v>
      </c>
      <c r="C93" s="1" t="s">
        <v>170</v>
      </c>
      <c r="D93" s="1" t="str">
        <f t="shared" si="5"/>
        <v>Beatrice Mason Mercer</v>
      </c>
      <c r="E93" s="1" t="str">
        <f t="shared" si="3"/>
        <v>BEATRICE MASON MERCER</v>
      </c>
      <c r="F93" s="1" t="s">
        <v>361</v>
      </c>
      <c r="G93" s="1" t="s">
        <v>362</v>
      </c>
      <c r="H93" s="1" t="s">
        <v>15</v>
      </c>
      <c r="I93" s="1" t="s">
        <v>23</v>
      </c>
      <c r="J93">
        <v>27</v>
      </c>
      <c r="K93">
        <v>0</v>
      </c>
      <c r="L93">
        <f t="shared" si="4"/>
        <v>27</v>
      </c>
      <c r="M93" s="1" t="s">
        <v>17</v>
      </c>
    </row>
    <row r="94" spans="1:13" x14ac:dyDescent="0.3">
      <c r="A94" s="1" t="s">
        <v>363</v>
      </c>
      <c r="B94" s="1" t="s">
        <v>192</v>
      </c>
      <c r="C94" s="1" t="s">
        <v>81</v>
      </c>
      <c r="D94" s="1" t="str">
        <f t="shared" si="5"/>
        <v>Conrad Mason Blake</v>
      </c>
      <c r="E94" s="1" t="str">
        <f t="shared" si="3"/>
        <v>CONRAD MASON BLAKE</v>
      </c>
      <c r="F94" s="1" t="s">
        <v>364</v>
      </c>
      <c r="G94" s="1" t="s">
        <v>365</v>
      </c>
      <c r="H94" s="1" t="s">
        <v>15</v>
      </c>
      <c r="I94" s="1" t="s">
        <v>16</v>
      </c>
      <c r="J94">
        <v>36</v>
      </c>
      <c r="K94">
        <v>24</v>
      </c>
      <c r="L94">
        <f t="shared" si="4"/>
        <v>60</v>
      </c>
      <c r="M94" s="1" t="s">
        <v>17</v>
      </c>
    </row>
    <row r="95" spans="1:13" x14ac:dyDescent="0.3">
      <c r="A95" s="1" t="s">
        <v>366</v>
      </c>
      <c r="B95" s="1" t="s">
        <v>192</v>
      </c>
      <c r="C95" s="1" t="s">
        <v>76</v>
      </c>
      <c r="D95" s="1" t="str">
        <f t="shared" si="5"/>
        <v>Dorothy Mason Quinn</v>
      </c>
      <c r="E95" s="1" t="str">
        <f t="shared" si="3"/>
        <v>DOROTHY MASON QUINN</v>
      </c>
      <c r="F95" s="1" t="s">
        <v>367</v>
      </c>
      <c r="G95" s="1" t="s">
        <v>368</v>
      </c>
      <c r="H95" s="1" t="s">
        <v>15</v>
      </c>
      <c r="I95" s="1" t="s">
        <v>16</v>
      </c>
      <c r="J95">
        <v>32</v>
      </c>
      <c r="K95">
        <v>21</v>
      </c>
      <c r="L95">
        <f t="shared" si="4"/>
        <v>53</v>
      </c>
      <c r="M95" s="1" t="s">
        <v>17</v>
      </c>
    </row>
    <row r="96" spans="1:13" x14ac:dyDescent="0.3">
      <c r="A96" s="1" t="s">
        <v>369</v>
      </c>
      <c r="B96" s="1" t="s">
        <v>370</v>
      </c>
      <c r="C96" s="1" t="s">
        <v>20</v>
      </c>
      <c r="D96" s="1" t="str">
        <f t="shared" si="5"/>
        <v>John Middleton Carter</v>
      </c>
      <c r="E96" s="1" t="str">
        <f t="shared" si="3"/>
        <v>JOHN MIDDLETON CARTER</v>
      </c>
      <c r="F96" s="1" t="s">
        <v>371</v>
      </c>
      <c r="G96" s="1" t="s">
        <v>372</v>
      </c>
      <c r="H96" s="1" t="s">
        <v>15</v>
      </c>
      <c r="I96" s="1" t="s">
        <v>16</v>
      </c>
      <c r="J96">
        <v>63</v>
      </c>
      <c r="K96">
        <v>24</v>
      </c>
      <c r="L96">
        <f t="shared" si="4"/>
        <v>87</v>
      </c>
      <c r="M96" s="1" t="s">
        <v>17</v>
      </c>
    </row>
    <row r="97" spans="1:13" x14ac:dyDescent="0.3">
      <c r="A97" s="1" t="s">
        <v>373</v>
      </c>
      <c r="B97" s="1" t="s">
        <v>217</v>
      </c>
      <c r="C97" s="1" t="s">
        <v>31</v>
      </c>
      <c r="D97" s="1" t="str">
        <f t="shared" si="5"/>
        <v>Luke Andrews Bennett</v>
      </c>
      <c r="E97" s="1" t="str">
        <f t="shared" si="3"/>
        <v>LUKE ANDREWS BENNETT</v>
      </c>
      <c r="F97" s="1" t="s">
        <v>374</v>
      </c>
      <c r="G97" s="1" t="s">
        <v>375</v>
      </c>
      <c r="H97" s="1" t="s">
        <v>15</v>
      </c>
      <c r="I97" s="1" t="s">
        <v>16</v>
      </c>
      <c r="J97">
        <v>44</v>
      </c>
      <c r="K97">
        <v>23</v>
      </c>
      <c r="L97">
        <f t="shared" si="4"/>
        <v>67</v>
      </c>
      <c r="M97" s="1" t="s">
        <v>17</v>
      </c>
    </row>
    <row r="98" spans="1:13" x14ac:dyDescent="0.3">
      <c r="A98" s="1" t="s">
        <v>376</v>
      </c>
      <c r="B98" s="1" t="s">
        <v>216</v>
      </c>
      <c r="C98" s="1" t="s">
        <v>36</v>
      </c>
      <c r="D98" s="1" t="str">
        <f t="shared" si="5"/>
        <v>Adam Noble Reed</v>
      </c>
      <c r="E98" s="1" t="str">
        <f t="shared" si="3"/>
        <v>ADAM NOBLE REED</v>
      </c>
      <c r="F98" s="1" t="s">
        <v>377</v>
      </c>
      <c r="G98" s="1" t="s">
        <v>378</v>
      </c>
      <c r="H98" s="1" t="s">
        <v>15</v>
      </c>
      <c r="I98" s="1" t="s">
        <v>16</v>
      </c>
      <c r="J98">
        <v>27</v>
      </c>
      <c r="K98">
        <v>22</v>
      </c>
      <c r="L98">
        <f t="shared" si="4"/>
        <v>49</v>
      </c>
      <c r="M98" s="1" t="s">
        <v>109</v>
      </c>
    </row>
    <row r="99" spans="1:13" x14ac:dyDescent="0.3">
      <c r="A99" s="1" t="s">
        <v>379</v>
      </c>
      <c r="B99" s="1" t="s">
        <v>212</v>
      </c>
      <c r="C99" s="1" t="s">
        <v>26</v>
      </c>
      <c r="D99" s="1" t="str">
        <f t="shared" si="5"/>
        <v>Mark Stephens Hayes</v>
      </c>
      <c r="E99" s="1" t="str">
        <f t="shared" si="3"/>
        <v>MARK STEPHENS HAYES</v>
      </c>
      <c r="F99" s="1" t="s">
        <v>380</v>
      </c>
      <c r="G99" s="1" t="s">
        <v>381</v>
      </c>
      <c r="H99" s="1" t="s">
        <v>15</v>
      </c>
      <c r="I99" s="1" t="s">
        <v>16</v>
      </c>
      <c r="J99">
        <v>56</v>
      </c>
      <c r="K99">
        <v>23</v>
      </c>
      <c r="L99">
        <f t="shared" si="4"/>
        <v>79</v>
      </c>
      <c r="M99" s="1" t="s">
        <v>17</v>
      </c>
    </row>
    <row r="100" spans="1:13" x14ac:dyDescent="0.3">
      <c r="A100" s="1" t="s">
        <v>382</v>
      </c>
      <c r="B100" s="1" t="s">
        <v>208</v>
      </c>
      <c r="C100" s="1" t="s">
        <v>66</v>
      </c>
      <c r="D100" s="1" t="str">
        <f t="shared" si="5"/>
        <v>Paul Bradley Dale</v>
      </c>
      <c r="E100" s="1" t="str">
        <f t="shared" si="3"/>
        <v>PAUL BRADLEY DALE</v>
      </c>
      <c r="F100" s="1" t="s">
        <v>383</v>
      </c>
      <c r="G100" s="1" t="s">
        <v>384</v>
      </c>
      <c r="H100" s="1" t="s">
        <v>15</v>
      </c>
      <c r="I100" s="1" t="s">
        <v>16</v>
      </c>
      <c r="J100">
        <v>45</v>
      </c>
      <c r="K100">
        <v>16</v>
      </c>
      <c r="L100">
        <f t="shared" si="4"/>
        <v>61</v>
      </c>
      <c r="M100" s="1" t="s">
        <v>17</v>
      </c>
    </row>
    <row r="101" spans="1:13" x14ac:dyDescent="0.3">
      <c r="A101" s="1" t="s">
        <v>223</v>
      </c>
      <c r="B101" s="1" t="s">
        <v>204</v>
      </c>
      <c r="C101" s="1" t="s">
        <v>128</v>
      </c>
      <c r="D101" s="1" t="str">
        <f t="shared" si="5"/>
        <v>Francis Irwin Spencer</v>
      </c>
      <c r="E101" s="1" t="str">
        <f t="shared" si="3"/>
        <v>FRANCIS IRWIN SPENCER</v>
      </c>
      <c r="F101" s="1" t="s">
        <v>385</v>
      </c>
      <c r="G101" s="1" t="s">
        <v>386</v>
      </c>
      <c r="H101" s="1" t="s">
        <v>15</v>
      </c>
      <c r="I101" s="1" t="s">
        <v>16</v>
      </c>
      <c r="J101">
        <v>32</v>
      </c>
      <c r="K101">
        <v>20</v>
      </c>
      <c r="L101">
        <f t="shared" si="4"/>
        <v>52</v>
      </c>
      <c r="M101" s="1" t="s">
        <v>17</v>
      </c>
    </row>
    <row r="102" spans="1:13" x14ac:dyDescent="0.3">
      <c r="A102" s="1" t="s">
        <v>387</v>
      </c>
      <c r="B102" s="1" t="s">
        <v>203</v>
      </c>
      <c r="C102" s="1" t="s">
        <v>105</v>
      </c>
      <c r="D102" s="1" t="str">
        <f t="shared" si="5"/>
        <v>Keith Macdonald Grant</v>
      </c>
      <c r="E102" s="1" t="str">
        <f t="shared" si="3"/>
        <v>KEITH MACDONALD GRANT</v>
      </c>
      <c r="F102" s="1" t="s">
        <v>388</v>
      </c>
      <c r="G102" s="1" t="s">
        <v>389</v>
      </c>
      <c r="H102" s="1" t="s">
        <v>15</v>
      </c>
      <c r="I102" s="1" t="s">
        <v>16</v>
      </c>
      <c r="J102">
        <v>31</v>
      </c>
      <c r="K102">
        <v>25</v>
      </c>
      <c r="L102">
        <f t="shared" si="4"/>
        <v>56</v>
      </c>
      <c r="M102" s="1" t="s">
        <v>17</v>
      </c>
    </row>
    <row r="103" spans="1:13" x14ac:dyDescent="0.3">
      <c r="A103" s="1" t="s">
        <v>390</v>
      </c>
      <c r="B103" s="1" t="s">
        <v>203</v>
      </c>
      <c r="C103" s="1" t="s">
        <v>170</v>
      </c>
      <c r="D103" s="1" t="str">
        <f t="shared" si="5"/>
        <v>Stuart Macdonald Mercer</v>
      </c>
      <c r="E103" s="1" t="str">
        <f t="shared" si="3"/>
        <v>STUART MACDONALD MERCER</v>
      </c>
      <c r="F103" s="1" t="s">
        <v>391</v>
      </c>
      <c r="G103" s="1" t="s">
        <v>392</v>
      </c>
      <c r="H103" s="1" t="s">
        <v>15</v>
      </c>
      <c r="I103" s="1" t="s">
        <v>16</v>
      </c>
      <c r="J103">
        <v>23</v>
      </c>
      <c r="K103">
        <v>25</v>
      </c>
      <c r="L103">
        <f t="shared" si="4"/>
        <v>48</v>
      </c>
      <c r="M103" s="1" t="s">
        <v>17</v>
      </c>
    </row>
    <row r="104" spans="1:13" x14ac:dyDescent="0.3">
      <c r="A104" s="1" t="s">
        <v>393</v>
      </c>
      <c r="B104" s="1" t="s">
        <v>203</v>
      </c>
      <c r="C104" s="1" t="s">
        <v>76</v>
      </c>
      <c r="D104" s="1" t="str">
        <f t="shared" si="5"/>
        <v>Marion Macdonald Quinn</v>
      </c>
      <c r="E104" s="1" t="str">
        <f t="shared" si="3"/>
        <v>MARION MACDONALD QUINN</v>
      </c>
      <c r="F104" s="1" t="s">
        <v>394</v>
      </c>
      <c r="G104" s="1" t="s">
        <v>395</v>
      </c>
      <c r="H104" s="1" t="s">
        <v>15</v>
      </c>
      <c r="I104" s="1" t="s">
        <v>16</v>
      </c>
      <c r="J104">
        <v>12</v>
      </c>
      <c r="K104">
        <v>23</v>
      </c>
      <c r="L104">
        <f t="shared" si="4"/>
        <v>35</v>
      </c>
      <c r="M104" s="1" t="s">
        <v>17</v>
      </c>
    </row>
    <row r="105" spans="1:13" x14ac:dyDescent="0.3">
      <c r="A105" s="1" t="s">
        <v>396</v>
      </c>
      <c r="B105" s="1" t="s">
        <v>203</v>
      </c>
      <c r="C105" s="1" t="s">
        <v>81</v>
      </c>
      <c r="D105" s="1" t="str">
        <f t="shared" si="5"/>
        <v>Elaine Macdonald Blake</v>
      </c>
      <c r="E105" s="1" t="str">
        <f t="shared" si="3"/>
        <v>ELAINE MACDONALD BLAKE</v>
      </c>
      <c r="F105" s="1" t="s">
        <v>397</v>
      </c>
      <c r="G105" s="1" t="s">
        <v>398</v>
      </c>
      <c r="H105" s="1" t="s">
        <v>15</v>
      </c>
      <c r="I105" s="1" t="s">
        <v>16</v>
      </c>
      <c r="J105">
        <v>52</v>
      </c>
      <c r="K105">
        <v>23</v>
      </c>
      <c r="L105">
        <f t="shared" si="4"/>
        <v>75</v>
      </c>
      <c r="M105" s="1" t="s">
        <v>17</v>
      </c>
    </row>
    <row r="106" spans="1:13" x14ac:dyDescent="0.3">
      <c r="A106" s="1" t="s">
        <v>399</v>
      </c>
      <c r="B106" s="1" t="s">
        <v>203</v>
      </c>
      <c r="C106" s="1" t="s">
        <v>41</v>
      </c>
      <c r="D106" s="1" t="str">
        <f t="shared" si="5"/>
        <v>Lewis Macdonald Morton</v>
      </c>
      <c r="E106" s="1" t="str">
        <f t="shared" si="3"/>
        <v>LEWIS MACDONALD MORTON</v>
      </c>
      <c r="F106" s="1" t="s">
        <v>400</v>
      </c>
      <c r="G106" s="1" t="s">
        <v>401</v>
      </c>
      <c r="H106" s="1" t="s">
        <v>15</v>
      </c>
      <c r="I106" s="1" t="s">
        <v>16</v>
      </c>
      <c r="J106">
        <v>54</v>
      </c>
      <c r="K106">
        <v>24</v>
      </c>
      <c r="L106">
        <f t="shared" si="4"/>
        <v>78</v>
      </c>
      <c r="M106" s="1" t="s">
        <v>17</v>
      </c>
    </row>
    <row r="107" spans="1:13" x14ac:dyDescent="0.3">
      <c r="A107" s="1" t="s">
        <v>402</v>
      </c>
      <c r="B107" s="1" t="s">
        <v>196</v>
      </c>
      <c r="C107" s="1" t="s">
        <v>20</v>
      </c>
      <c r="D107" s="1" t="str">
        <f t="shared" si="5"/>
        <v>Richard Greene Carter</v>
      </c>
      <c r="E107" s="1" t="str">
        <f t="shared" si="3"/>
        <v>RICHARD GREENE CARTER</v>
      </c>
      <c r="F107" s="1" t="s">
        <v>403</v>
      </c>
      <c r="G107" s="1" t="s">
        <v>404</v>
      </c>
      <c r="H107" s="1" t="s">
        <v>15</v>
      </c>
      <c r="I107" s="1" t="s">
        <v>16</v>
      </c>
      <c r="J107">
        <v>14</v>
      </c>
      <c r="K107">
        <v>25</v>
      </c>
      <c r="L107">
        <f t="shared" si="4"/>
        <v>39</v>
      </c>
      <c r="M107" s="1" t="s">
        <v>17</v>
      </c>
    </row>
    <row r="108" spans="1:13" x14ac:dyDescent="0.3">
      <c r="A108" s="1" t="s">
        <v>405</v>
      </c>
      <c r="B108" s="1" t="s">
        <v>196</v>
      </c>
      <c r="C108" s="1" t="s">
        <v>86</v>
      </c>
      <c r="D108" s="1" t="str">
        <f t="shared" si="5"/>
        <v>Alison Greene Shaw</v>
      </c>
      <c r="E108" s="1" t="str">
        <f t="shared" si="3"/>
        <v>ALISON GREENE SHAW</v>
      </c>
      <c r="F108" s="1" t="s">
        <v>406</v>
      </c>
      <c r="G108" s="1" t="s">
        <v>407</v>
      </c>
      <c r="H108" s="1" t="s">
        <v>15</v>
      </c>
      <c r="I108" s="1" t="s">
        <v>16</v>
      </c>
      <c r="J108">
        <v>46</v>
      </c>
      <c r="K108">
        <v>23</v>
      </c>
      <c r="L108">
        <f t="shared" si="4"/>
        <v>69</v>
      </c>
      <c r="M108" s="1" t="s">
        <v>17</v>
      </c>
    </row>
    <row r="109" spans="1:13" x14ac:dyDescent="0.3">
      <c r="A109" s="1" t="s">
        <v>127</v>
      </c>
      <c r="B109" s="1" t="s">
        <v>196</v>
      </c>
      <c r="C109" s="1" t="s">
        <v>66</v>
      </c>
      <c r="D109" s="1" t="str">
        <f t="shared" si="5"/>
        <v>Daniel Greene Dale</v>
      </c>
      <c r="E109" s="1" t="str">
        <f t="shared" si="3"/>
        <v>DANIEL GREENE DALE</v>
      </c>
      <c r="F109" s="1" t="s">
        <v>408</v>
      </c>
      <c r="G109" s="1" t="s">
        <v>409</v>
      </c>
      <c r="H109" s="1" t="s">
        <v>15</v>
      </c>
      <c r="I109" s="1" t="s">
        <v>16</v>
      </c>
      <c r="J109">
        <v>46</v>
      </c>
      <c r="K109">
        <v>21</v>
      </c>
      <c r="L109">
        <f t="shared" si="4"/>
        <v>67</v>
      </c>
      <c r="M109" s="1" t="s">
        <v>17</v>
      </c>
    </row>
    <row r="110" spans="1:13" x14ac:dyDescent="0.3">
      <c r="A110" s="1" t="s">
        <v>146</v>
      </c>
      <c r="B110" s="1" t="s">
        <v>196</v>
      </c>
      <c r="C110" s="1" t="s">
        <v>26</v>
      </c>
      <c r="D110" s="1" t="str">
        <f t="shared" si="5"/>
        <v>Megan Greene Hayes</v>
      </c>
      <c r="E110" s="1" t="str">
        <f t="shared" si="3"/>
        <v>MEGAN GREENE HAYES</v>
      </c>
      <c r="F110" s="1" t="s">
        <v>410</v>
      </c>
      <c r="G110" s="1" t="s">
        <v>411</v>
      </c>
      <c r="H110" s="1" t="s">
        <v>15</v>
      </c>
      <c r="I110" s="1" t="s">
        <v>16</v>
      </c>
      <c r="J110">
        <v>23</v>
      </c>
      <c r="K110">
        <v>22</v>
      </c>
      <c r="L110">
        <f t="shared" si="4"/>
        <v>45</v>
      </c>
      <c r="M110" s="1" t="s">
        <v>17</v>
      </c>
    </row>
    <row r="111" spans="1:13" x14ac:dyDescent="0.3">
      <c r="A111" s="1" t="s">
        <v>10</v>
      </c>
      <c r="B111" s="1" t="s">
        <v>196</v>
      </c>
      <c r="C111" s="1" t="s">
        <v>76</v>
      </c>
      <c r="D111" s="1" t="str">
        <f t="shared" si="5"/>
        <v>Oliver Greene Quinn</v>
      </c>
      <c r="E111" s="1" t="str">
        <f t="shared" si="3"/>
        <v>OLIVER GREENE QUINN</v>
      </c>
      <c r="F111" s="1" t="s">
        <v>412</v>
      </c>
      <c r="G111" s="1" t="s">
        <v>413</v>
      </c>
      <c r="H111" s="1" t="s">
        <v>15</v>
      </c>
      <c r="I111" s="1" t="s">
        <v>16</v>
      </c>
      <c r="J111">
        <v>22</v>
      </c>
      <c r="K111">
        <v>23</v>
      </c>
      <c r="L111">
        <f t="shared" si="4"/>
        <v>45</v>
      </c>
      <c r="M111" s="1" t="s">
        <v>17</v>
      </c>
    </row>
    <row r="112" spans="1:13" x14ac:dyDescent="0.3">
      <c r="A112" s="1" t="s">
        <v>150</v>
      </c>
      <c r="B112" s="1" t="s">
        <v>196</v>
      </c>
      <c r="C112" s="1" t="s">
        <v>170</v>
      </c>
      <c r="D112" s="1" t="str">
        <f t="shared" si="5"/>
        <v>Sarah Greene Mercer</v>
      </c>
      <c r="E112" s="1" t="str">
        <f t="shared" si="3"/>
        <v>SARAH GREENE MERCER</v>
      </c>
      <c r="F112" s="1" t="s">
        <v>414</v>
      </c>
      <c r="G112" s="1" t="s">
        <v>415</v>
      </c>
      <c r="H112" s="1" t="s">
        <v>15</v>
      </c>
      <c r="I112" s="1" t="s">
        <v>16</v>
      </c>
      <c r="J112">
        <v>58</v>
      </c>
      <c r="K112">
        <v>23</v>
      </c>
      <c r="L112">
        <f t="shared" si="4"/>
        <v>81</v>
      </c>
      <c r="M112" s="1" t="s">
        <v>17</v>
      </c>
    </row>
    <row r="113" spans="1:13" x14ac:dyDescent="0.3">
      <c r="A113" s="1" t="s">
        <v>416</v>
      </c>
      <c r="B113" s="1" t="s">
        <v>196</v>
      </c>
      <c r="C113" s="1" t="s">
        <v>81</v>
      </c>
      <c r="D113" s="1" t="str">
        <f t="shared" si="5"/>
        <v>Matthew Greene Blake</v>
      </c>
      <c r="E113" s="1" t="str">
        <f t="shared" si="3"/>
        <v>MATTHEW GREENE BLAKE</v>
      </c>
      <c r="F113" s="1" t="s">
        <v>417</v>
      </c>
      <c r="G113" s="1" t="s">
        <v>418</v>
      </c>
      <c r="H113" s="1" t="s">
        <v>15</v>
      </c>
      <c r="I113" s="1" t="s">
        <v>23</v>
      </c>
      <c r="J113">
        <v>43</v>
      </c>
      <c r="K113">
        <v>0</v>
      </c>
      <c r="L113">
        <f t="shared" si="4"/>
        <v>43</v>
      </c>
      <c r="M113" s="1" t="s">
        <v>17</v>
      </c>
    </row>
    <row r="114" spans="1:13" x14ac:dyDescent="0.3">
      <c r="A114" s="1" t="s">
        <v>419</v>
      </c>
      <c r="B114" s="1" t="s">
        <v>420</v>
      </c>
      <c r="C114" s="1" t="s">
        <v>20</v>
      </c>
      <c r="D114" s="1" t="str">
        <f t="shared" si="5"/>
        <v>Eleanor White Carter</v>
      </c>
      <c r="E114" s="1" t="str">
        <f t="shared" si="3"/>
        <v>ELEANOR WHITE CARTER</v>
      </c>
      <c r="F114" s="1" t="s">
        <v>421</v>
      </c>
      <c r="G114" s="1" t="s">
        <v>422</v>
      </c>
      <c r="H114" s="1" t="s">
        <v>15</v>
      </c>
      <c r="I114" s="1" t="s">
        <v>16</v>
      </c>
      <c r="J114">
        <v>37</v>
      </c>
      <c r="K114">
        <v>22</v>
      </c>
      <c r="L114">
        <f t="shared" si="4"/>
        <v>59</v>
      </c>
      <c r="M114" s="1" t="s">
        <v>17</v>
      </c>
    </row>
    <row r="115" spans="1:13" x14ac:dyDescent="0.3">
      <c r="A115" s="1" t="s">
        <v>423</v>
      </c>
      <c r="B115" s="1" t="s">
        <v>420</v>
      </c>
      <c r="C115" s="1" t="s">
        <v>26</v>
      </c>
      <c r="D115" s="1" t="str">
        <f t="shared" si="5"/>
        <v>Alice White Hayes</v>
      </c>
      <c r="E115" s="1" t="str">
        <f t="shared" si="3"/>
        <v>ALICE WHITE HAYES</v>
      </c>
      <c r="F115" s="1" t="s">
        <v>424</v>
      </c>
      <c r="G115" s="1" t="s">
        <v>425</v>
      </c>
      <c r="H115" s="1" t="s">
        <v>15</v>
      </c>
      <c r="I115" s="1" t="s">
        <v>16</v>
      </c>
      <c r="J115">
        <v>53</v>
      </c>
      <c r="K115">
        <v>25</v>
      </c>
      <c r="L115">
        <f t="shared" si="4"/>
        <v>78</v>
      </c>
      <c r="M115" s="1" t="s">
        <v>17</v>
      </c>
    </row>
    <row r="116" spans="1:13" x14ac:dyDescent="0.3">
      <c r="A116" s="1" t="s">
        <v>426</v>
      </c>
      <c r="B116" s="1" t="s">
        <v>420</v>
      </c>
      <c r="C116" s="1" t="s">
        <v>66</v>
      </c>
      <c r="D116" s="1" t="str">
        <f t="shared" si="5"/>
        <v>Henry White Dale</v>
      </c>
      <c r="E116" s="1" t="str">
        <f t="shared" si="3"/>
        <v>HENRY WHITE DALE</v>
      </c>
      <c r="F116" s="1" t="s">
        <v>427</v>
      </c>
      <c r="G116" s="1" t="s">
        <v>428</v>
      </c>
      <c r="H116" s="1" t="s">
        <v>15</v>
      </c>
      <c r="I116" s="1" t="s">
        <v>16</v>
      </c>
      <c r="J116">
        <v>41</v>
      </c>
      <c r="K116">
        <v>25</v>
      </c>
      <c r="L116">
        <f t="shared" si="4"/>
        <v>66</v>
      </c>
      <c r="M116" s="1" t="s">
        <v>17</v>
      </c>
    </row>
    <row r="117" spans="1:13" x14ac:dyDescent="0.3">
      <c r="A117" s="1" t="s">
        <v>274</v>
      </c>
      <c r="B117" s="1" t="s">
        <v>420</v>
      </c>
      <c r="C117" s="1" t="s">
        <v>128</v>
      </c>
      <c r="D117" s="1" t="str">
        <f t="shared" si="5"/>
        <v>Philip White Spencer</v>
      </c>
      <c r="E117" s="1" t="str">
        <f t="shared" si="3"/>
        <v>PHILIP WHITE SPENCER</v>
      </c>
      <c r="F117" s="1" t="s">
        <v>429</v>
      </c>
      <c r="G117" s="1" t="s">
        <v>430</v>
      </c>
      <c r="H117" s="1" t="s">
        <v>15</v>
      </c>
      <c r="I117" s="1" t="s">
        <v>16</v>
      </c>
      <c r="J117">
        <v>68</v>
      </c>
      <c r="K117">
        <v>20</v>
      </c>
      <c r="L117">
        <f t="shared" si="4"/>
        <v>88</v>
      </c>
      <c r="M117" s="1" t="s">
        <v>17</v>
      </c>
    </row>
    <row r="118" spans="1:13" x14ac:dyDescent="0.3">
      <c r="A118" s="1" t="s">
        <v>431</v>
      </c>
      <c r="B118" s="1" t="s">
        <v>420</v>
      </c>
      <c r="C118" s="1" t="s">
        <v>76</v>
      </c>
      <c r="D118" s="1" t="str">
        <f t="shared" si="5"/>
        <v>Poppy White Quinn</v>
      </c>
      <c r="E118" s="1" t="str">
        <f t="shared" si="3"/>
        <v>POPPY WHITE QUINN</v>
      </c>
      <c r="F118" s="1" t="s">
        <v>432</v>
      </c>
      <c r="G118" s="1" t="s">
        <v>433</v>
      </c>
      <c r="H118" s="1" t="s">
        <v>15</v>
      </c>
      <c r="I118" s="1" t="s">
        <v>16</v>
      </c>
      <c r="J118">
        <v>46</v>
      </c>
      <c r="K118">
        <v>25</v>
      </c>
      <c r="L118">
        <f t="shared" si="4"/>
        <v>71</v>
      </c>
      <c r="M118" s="1" t="s">
        <v>17</v>
      </c>
    </row>
    <row r="119" spans="1:13" x14ac:dyDescent="0.3">
      <c r="A119" s="1" t="s">
        <v>434</v>
      </c>
      <c r="B119" s="1" t="s">
        <v>12</v>
      </c>
      <c r="C119" s="1" t="s">
        <v>20</v>
      </c>
      <c r="D119" s="1" t="str">
        <f t="shared" si="5"/>
        <v>Andrew Whitman Carter</v>
      </c>
      <c r="E119" s="1" t="str">
        <f t="shared" si="3"/>
        <v>ANDREW WHITMAN CARTER</v>
      </c>
      <c r="F119" s="1" t="s">
        <v>435</v>
      </c>
      <c r="G119" s="1" t="s">
        <v>436</v>
      </c>
      <c r="H119" s="1" t="s">
        <v>15</v>
      </c>
      <c r="I119" s="1" t="s">
        <v>16</v>
      </c>
      <c r="J119">
        <v>35</v>
      </c>
      <c r="K119">
        <v>18</v>
      </c>
      <c r="L119">
        <f t="shared" si="4"/>
        <v>53</v>
      </c>
      <c r="M119" s="1" t="s">
        <v>17</v>
      </c>
    </row>
    <row r="120" spans="1:13" x14ac:dyDescent="0.3">
      <c r="A120" s="1" t="s">
        <v>54</v>
      </c>
      <c r="B120" s="1" t="s">
        <v>12</v>
      </c>
      <c r="C120" s="1" t="s">
        <v>31</v>
      </c>
      <c r="D120" s="1" t="str">
        <f t="shared" si="5"/>
        <v>Thomas Whitman Bennett</v>
      </c>
      <c r="E120" s="1" t="str">
        <f t="shared" si="3"/>
        <v>THOMAS WHITMAN BENNETT</v>
      </c>
      <c r="F120" s="1" t="s">
        <v>437</v>
      </c>
      <c r="G120" s="1" t="s">
        <v>438</v>
      </c>
      <c r="H120" s="1" t="s">
        <v>15</v>
      </c>
      <c r="I120" s="1" t="s">
        <v>16</v>
      </c>
      <c r="J120">
        <v>34</v>
      </c>
      <c r="K120">
        <v>21</v>
      </c>
      <c r="L120">
        <f t="shared" si="4"/>
        <v>55</v>
      </c>
      <c r="M120" s="1" t="s">
        <v>17</v>
      </c>
    </row>
    <row r="121" spans="1:13" x14ac:dyDescent="0.3">
      <c r="A121" s="1" t="s">
        <v>142</v>
      </c>
      <c r="B121" s="1" t="s">
        <v>12</v>
      </c>
      <c r="C121" s="1" t="s">
        <v>26</v>
      </c>
      <c r="D121" s="1" t="str">
        <f t="shared" si="5"/>
        <v>Lucy Whitman Hayes</v>
      </c>
      <c r="E121" s="1" t="str">
        <f t="shared" si="3"/>
        <v>LUCY WHITMAN HAYES</v>
      </c>
      <c r="F121" s="1" t="s">
        <v>439</v>
      </c>
      <c r="G121" s="1" t="s">
        <v>440</v>
      </c>
      <c r="H121" s="1" t="s">
        <v>15</v>
      </c>
      <c r="I121" s="1" t="s">
        <v>16</v>
      </c>
      <c r="J121">
        <v>32</v>
      </c>
      <c r="K121">
        <v>21</v>
      </c>
      <c r="L121">
        <f t="shared" si="4"/>
        <v>53</v>
      </c>
      <c r="M121" s="1" t="s">
        <v>17</v>
      </c>
    </row>
    <row r="122" spans="1:13" x14ac:dyDescent="0.3">
      <c r="A122" s="1" t="s">
        <v>59</v>
      </c>
      <c r="B122" s="1" t="s">
        <v>12</v>
      </c>
      <c r="C122" s="1" t="s">
        <v>170</v>
      </c>
      <c r="D122" s="1" t="str">
        <f t="shared" si="5"/>
        <v>Sophie Whitman Mercer</v>
      </c>
      <c r="E122" s="1" t="str">
        <f t="shared" si="3"/>
        <v>SOPHIE WHITMAN MERCER</v>
      </c>
      <c r="F122" s="1" t="s">
        <v>441</v>
      </c>
      <c r="G122" s="1" t="s">
        <v>442</v>
      </c>
      <c r="H122" s="1" t="s">
        <v>15</v>
      </c>
      <c r="I122" s="1" t="s">
        <v>16</v>
      </c>
      <c r="J122">
        <v>31</v>
      </c>
      <c r="K122">
        <v>24</v>
      </c>
      <c r="L122">
        <f t="shared" si="4"/>
        <v>55</v>
      </c>
      <c r="M122" s="1" t="s">
        <v>17</v>
      </c>
    </row>
    <row r="123" spans="1:13" x14ac:dyDescent="0.3">
      <c r="A123" s="1" t="s">
        <v>99</v>
      </c>
      <c r="B123" s="1" t="s">
        <v>12</v>
      </c>
      <c r="C123" s="1" t="s">
        <v>76</v>
      </c>
      <c r="D123" s="1" t="str">
        <f t="shared" si="5"/>
        <v>Edward Whitman Quinn</v>
      </c>
      <c r="E123" s="1" t="str">
        <f t="shared" si="3"/>
        <v>EDWARD WHITMAN QUINN</v>
      </c>
      <c r="F123" s="1" t="s">
        <v>443</v>
      </c>
      <c r="G123" s="1" t="s">
        <v>444</v>
      </c>
      <c r="H123" s="1" t="s">
        <v>15</v>
      </c>
      <c r="I123" s="1" t="s">
        <v>16</v>
      </c>
      <c r="J123">
        <v>42</v>
      </c>
      <c r="K123">
        <v>18</v>
      </c>
      <c r="L123">
        <f t="shared" si="4"/>
        <v>60</v>
      </c>
      <c r="M123" s="1" t="s">
        <v>17</v>
      </c>
    </row>
    <row r="124" spans="1:13" x14ac:dyDescent="0.3">
      <c r="A124" s="1" t="s">
        <v>49</v>
      </c>
      <c r="B124" s="1" t="s">
        <v>12</v>
      </c>
      <c r="C124" s="1" t="s">
        <v>66</v>
      </c>
      <c r="D124" s="1" t="str">
        <f t="shared" si="5"/>
        <v>Emily Whitman Dale</v>
      </c>
      <c r="E124" s="1" t="str">
        <f t="shared" si="3"/>
        <v>EMILY WHITMAN DALE</v>
      </c>
      <c r="F124" s="1" t="s">
        <v>445</v>
      </c>
      <c r="G124" s="1" t="s">
        <v>446</v>
      </c>
      <c r="H124" s="1" t="s">
        <v>15</v>
      </c>
      <c r="I124" s="1" t="s">
        <v>16</v>
      </c>
      <c r="J124">
        <v>33</v>
      </c>
      <c r="K124">
        <v>15</v>
      </c>
      <c r="L124">
        <f t="shared" si="4"/>
        <v>48</v>
      </c>
      <c r="M124" s="1" t="s">
        <v>17</v>
      </c>
    </row>
    <row r="125" spans="1:13" x14ac:dyDescent="0.3">
      <c r="A125" s="1" t="s">
        <v>211</v>
      </c>
      <c r="B125" s="1" t="s">
        <v>203</v>
      </c>
      <c r="C125" s="1" t="s">
        <v>20</v>
      </c>
      <c r="D125" s="1" t="str">
        <f t="shared" si="5"/>
        <v>Colin Macdonald Carter</v>
      </c>
      <c r="E125" s="1" t="str">
        <f t="shared" si="3"/>
        <v>COLIN MACDONALD CARTER</v>
      </c>
      <c r="F125" s="1" t="s">
        <v>447</v>
      </c>
      <c r="G125" s="1" t="s">
        <v>448</v>
      </c>
      <c r="H125" s="1" t="s">
        <v>15</v>
      </c>
      <c r="I125" s="1" t="s">
        <v>16</v>
      </c>
      <c r="J125">
        <v>51</v>
      </c>
      <c r="K125">
        <v>15</v>
      </c>
      <c r="L125">
        <f t="shared" si="4"/>
        <v>66</v>
      </c>
      <c r="M125" s="1" t="s">
        <v>17</v>
      </c>
    </row>
    <row r="126" spans="1:13" x14ac:dyDescent="0.3">
      <c r="A126" s="1" t="s">
        <v>215</v>
      </c>
      <c r="B126" s="1" t="s">
        <v>203</v>
      </c>
      <c r="C126" s="1" t="s">
        <v>26</v>
      </c>
      <c r="D126" s="1" t="str">
        <f t="shared" si="5"/>
        <v>Douglas Macdonald Hayes</v>
      </c>
      <c r="E126" s="1" t="str">
        <f t="shared" si="3"/>
        <v>DOUGLAS MACDONALD HAYES</v>
      </c>
      <c r="F126" s="1" t="s">
        <v>449</v>
      </c>
      <c r="G126" s="1" t="s">
        <v>450</v>
      </c>
      <c r="H126" s="1" t="s">
        <v>15</v>
      </c>
      <c r="I126" s="1" t="s">
        <v>16</v>
      </c>
      <c r="J126">
        <v>44</v>
      </c>
      <c r="K126">
        <v>25</v>
      </c>
      <c r="L126">
        <f t="shared" si="4"/>
        <v>69</v>
      </c>
      <c r="M126" s="1" t="s">
        <v>17</v>
      </c>
    </row>
    <row r="127" spans="1:13" x14ac:dyDescent="0.3">
      <c r="A127" s="1" t="s">
        <v>390</v>
      </c>
      <c r="B127" s="1" t="s">
        <v>196</v>
      </c>
      <c r="C127" s="1" t="s">
        <v>128</v>
      </c>
      <c r="D127" s="1" t="str">
        <f t="shared" si="5"/>
        <v>Stuart Greene Spencer</v>
      </c>
      <c r="E127" s="1" t="str">
        <f t="shared" si="3"/>
        <v>STUART GREENE SPENCER</v>
      </c>
      <c r="F127" s="1" t="s">
        <v>451</v>
      </c>
      <c r="G127" s="1" t="s">
        <v>452</v>
      </c>
      <c r="H127" s="1" t="s">
        <v>15</v>
      </c>
      <c r="I127" s="1" t="s">
        <v>16</v>
      </c>
      <c r="J127">
        <v>73</v>
      </c>
      <c r="K127">
        <v>19</v>
      </c>
      <c r="L127">
        <f t="shared" si="4"/>
        <v>92</v>
      </c>
      <c r="M127" s="1" t="s">
        <v>17</v>
      </c>
    </row>
    <row r="128" spans="1:13" x14ac:dyDescent="0.3">
      <c r="A128" s="1" t="s">
        <v>10</v>
      </c>
      <c r="B128" s="1" t="s">
        <v>46</v>
      </c>
      <c r="C128" s="1" t="s">
        <v>36</v>
      </c>
      <c r="D128" s="1" t="str">
        <f t="shared" si="5"/>
        <v>Oliver Fraser Reed</v>
      </c>
      <c r="E128" s="1" t="str">
        <f t="shared" si="3"/>
        <v>OLIVER FRASER REED</v>
      </c>
      <c r="F128" s="1" t="s">
        <v>453</v>
      </c>
      <c r="G128" s="1" t="s">
        <v>454</v>
      </c>
      <c r="H128" s="1" t="s">
        <v>15</v>
      </c>
      <c r="I128" s="1" t="s">
        <v>23</v>
      </c>
      <c r="J128">
        <v>30</v>
      </c>
      <c r="K128">
        <v>0</v>
      </c>
      <c r="L128">
        <f t="shared" si="4"/>
        <v>30</v>
      </c>
      <c r="M128" s="1" t="s">
        <v>17</v>
      </c>
    </row>
    <row r="129" spans="1:13" x14ac:dyDescent="0.3">
      <c r="A129" s="1" t="s">
        <v>24</v>
      </c>
      <c r="B129" s="1" t="s">
        <v>20</v>
      </c>
      <c r="C129" s="1" t="s">
        <v>66</v>
      </c>
      <c r="D129" s="1" t="str">
        <f t="shared" si="5"/>
        <v>Amelia Carter Dale</v>
      </c>
      <c r="E129" s="1" t="str">
        <f t="shared" si="3"/>
        <v>AMELIA CARTER DALE</v>
      </c>
      <c r="F129" s="1" t="s">
        <v>455</v>
      </c>
      <c r="G129" s="1" t="s">
        <v>456</v>
      </c>
      <c r="H129" s="1" t="s">
        <v>15</v>
      </c>
      <c r="I129" s="1" t="s">
        <v>16</v>
      </c>
      <c r="J129">
        <v>53</v>
      </c>
      <c r="K129">
        <v>17</v>
      </c>
      <c r="L129">
        <f t="shared" si="4"/>
        <v>70</v>
      </c>
      <c r="M129" s="1" t="s">
        <v>17</v>
      </c>
    </row>
    <row r="130" spans="1:13" x14ac:dyDescent="0.3">
      <c r="A130" s="1" t="s">
        <v>18</v>
      </c>
      <c r="B130" s="1" t="s">
        <v>41</v>
      </c>
      <c r="C130" s="1" t="s">
        <v>76</v>
      </c>
      <c r="D130" s="1" t="str">
        <f t="shared" si="5"/>
        <v>George Morton Quinn</v>
      </c>
      <c r="E130" s="1" t="str">
        <f t="shared" si="3"/>
        <v>GEORGE MORTON QUINN</v>
      </c>
      <c r="F130" s="1" t="s">
        <v>457</v>
      </c>
      <c r="G130" s="1" t="s">
        <v>458</v>
      </c>
      <c r="H130" s="1" t="s">
        <v>15</v>
      </c>
      <c r="I130" s="1" t="s">
        <v>16</v>
      </c>
      <c r="J130">
        <v>39</v>
      </c>
      <c r="K130">
        <v>20</v>
      </c>
      <c r="L130">
        <f t="shared" si="4"/>
        <v>59</v>
      </c>
      <c r="M130" s="1" t="s">
        <v>17</v>
      </c>
    </row>
    <row r="131" spans="1:13" x14ac:dyDescent="0.3">
      <c r="A131" s="1" t="s">
        <v>39</v>
      </c>
      <c r="B131" s="1" t="s">
        <v>31</v>
      </c>
      <c r="C131" s="1" t="s">
        <v>51</v>
      </c>
      <c r="D131" s="1" t="str">
        <f t="shared" si="5"/>
        <v>Harry Bennett Glover</v>
      </c>
      <c r="E131" s="1" t="str">
        <f t="shared" ref="E131:E194" si="6">UPPER(D131)</f>
        <v>HARRY BENNETT GLOVER</v>
      </c>
      <c r="F131" s="1" t="s">
        <v>459</v>
      </c>
      <c r="G131" s="1" t="s">
        <v>460</v>
      </c>
      <c r="H131" s="1" t="s">
        <v>15</v>
      </c>
      <c r="I131" s="1" t="s">
        <v>16</v>
      </c>
      <c r="J131">
        <v>28</v>
      </c>
      <c r="K131">
        <v>22</v>
      </c>
      <c r="L131">
        <f t="shared" ref="L131:L194" si="7">SUM(J131,K131)</f>
        <v>50</v>
      </c>
      <c r="M131" s="1" t="s">
        <v>17</v>
      </c>
    </row>
    <row r="132" spans="1:13" x14ac:dyDescent="0.3">
      <c r="A132" s="1" t="s">
        <v>34</v>
      </c>
      <c r="B132" s="1" t="s">
        <v>128</v>
      </c>
      <c r="C132" s="1" t="s">
        <v>26</v>
      </c>
      <c r="D132" s="1" t="str">
        <f t="shared" ref="D132:D195" si="8">CONCATENATE(A132," ",B132," ",C132)</f>
        <v>Isla Spencer Hayes</v>
      </c>
      <c r="E132" s="1" t="str">
        <f t="shared" si="6"/>
        <v>ISLA SPENCER HAYES</v>
      </c>
      <c r="F132" s="1" t="s">
        <v>461</v>
      </c>
      <c r="G132" s="1" t="s">
        <v>462</v>
      </c>
      <c r="H132" s="1" t="s">
        <v>15</v>
      </c>
      <c r="I132" s="1" t="s">
        <v>16</v>
      </c>
      <c r="J132">
        <v>59</v>
      </c>
      <c r="K132">
        <v>17</v>
      </c>
      <c r="L132">
        <f t="shared" si="7"/>
        <v>76</v>
      </c>
      <c r="M132" s="1" t="s">
        <v>17</v>
      </c>
    </row>
    <row r="133" spans="1:13" x14ac:dyDescent="0.3">
      <c r="A133" s="1" t="s">
        <v>54</v>
      </c>
      <c r="B133" s="1" t="s">
        <v>81</v>
      </c>
      <c r="C133" s="1" t="s">
        <v>170</v>
      </c>
      <c r="D133" s="1" t="str">
        <f t="shared" si="8"/>
        <v>Thomas Blake Mercer</v>
      </c>
      <c r="E133" s="1" t="str">
        <f t="shared" si="6"/>
        <v>THOMAS BLAKE MERCER</v>
      </c>
      <c r="F133" s="1" t="s">
        <v>463</v>
      </c>
      <c r="G133" s="1" t="s">
        <v>464</v>
      </c>
      <c r="H133" s="1" t="s">
        <v>15</v>
      </c>
      <c r="I133" s="1" t="s">
        <v>16</v>
      </c>
      <c r="J133">
        <v>31</v>
      </c>
      <c r="K133">
        <v>21</v>
      </c>
      <c r="L133">
        <f t="shared" si="7"/>
        <v>52</v>
      </c>
      <c r="M133" s="1" t="s">
        <v>17</v>
      </c>
    </row>
    <row r="134" spans="1:13" x14ac:dyDescent="0.3">
      <c r="A134" s="1" t="s">
        <v>59</v>
      </c>
      <c r="B134" s="1" t="s">
        <v>36</v>
      </c>
      <c r="C134" s="1" t="s">
        <v>20</v>
      </c>
      <c r="D134" s="1" t="str">
        <f t="shared" si="8"/>
        <v>Sophie Reed Carter</v>
      </c>
      <c r="E134" s="1" t="str">
        <f t="shared" si="6"/>
        <v>SOPHIE REED CARTER</v>
      </c>
      <c r="F134" s="1" t="s">
        <v>465</v>
      </c>
      <c r="G134" s="1" t="s">
        <v>466</v>
      </c>
      <c r="H134" s="1" t="s">
        <v>15</v>
      </c>
      <c r="I134" s="1" t="s">
        <v>16</v>
      </c>
      <c r="J134">
        <v>41</v>
      </c>
      <c r="K134">
        <v>23</v>
      </c>
      <c r="L134">
        <f t="shared" si="7"/>
        <v>64</v>
      </c>
      <c r="M134" s="1" t="s">
        <v>17</v>
      </c>
    </row>
    <row r="135" spans="1:13" x14ac:dyDescent="0.3">
      <c r="A135" s="1" t="s">
        <v>89</v>
      </c>
      <c r="B135" s="1" t="s">
        <v>91</v>
      </c>
      <c r="C135" s="1" t="s">
        <v>76</v>
      </c>
      <c r="D135" s="1" t="str">
        <f t="shared" si="8"/>
        <v>Ella Doyle Quinn</v>
      </c>
      <c r="E135" s="1" t="str">
        <f t="shared" si="6"/>
        <v>ELLA DOYLE QUINN</v>
      </c>
      <c r="F135" s="1" t="s">
        <v>467</v>
      </c>
      <c r="G135" s="1" t="s">
        <v>468</v>
      </c>
      <c r="H135" s="1" t="s">
        <v>15</v>
      </c>
      <c r="I135" s="1" t="s">
        <v>16</v>
      </c>
      <c r="J135">
        <v>45</v>
      </c>
      <c r="K135">
        <v>22</v>
      </c>
      <c r="L135">
        <f t="shared" si="7"/>
        <v>67</v>
      </c>
      <c r="M135" s="1" t="s">
        <v>17</v>
      </c>
    </row>
    <row r="136" spans="1:13" x14ac:dyDescent="0.3">
      <c r="A136" s="1" t="s">
        <v>94</v>
      </c>
      <c r="B136" s="1" t="s">
        <v>96</v>
      </c>
      <c r="C136" s="1" t="s">
        <v>26</v>
      </c>
      <c r="D136" s="1" t="str">
        <f t="shared" si="8"/>
        <v>Ruby Palmer Hayes</v>
      </c>
      <c r="E136" s="1" t="str">
        <f t="shared" si="6"/>
        <v>RUBY PALMER HAYES</v>
      </c>
      <c r="F136" s="1" t="s">
        <v>469</v>
      </c>
      <c r="G136" s="1" t="s">
        <v>470</v>
      </c>
      <c r="H136" s="1" t="s">
        <v>15</v>
      </c>
      <c r="I136" s="1" t="s">
        <v>16</v>
      </c>
      <c r="J136">
        <v>53</v>
      </c>
      <c r="K136">
        <v>23</v>
      </c>
      <c r="L136">
        <f t="shared" si="7"/>
        <v>76</v>
      </c>
      <c r="M136" s="1" t="s">
        <v>17</v>
      </c>
    </row>
    <row r="137" spans="1:13" x14ac:dyDescent="0.3">
      <c r="A137" s="1" t="s">
        <v>118</v>
      </c>
      <c r="B137" s="1" t="s">
        <v>86</v>
      </c>
      <c r="C137" s="1" t="s">
        <v>20</v>
      </c>
      <c r="D137" s="1" t="str">
        <f t="shared" si="8"/>
        <v>Matilda Shaw Carter</v>
      </c>
      <c r="E137" s="1" t="str">
        <f t="shared" si="6"/>
        <v>MATILDA SHAW CARTER</v>
      </c>
      <c r="F137" s="1" t="s">
        <v>471</v>
      </c>
      <c r="G137" s="1" t="s">
        <v>472</v>
      </c>
      <c r="H137" s="1" t="s">
        <v>15</v>
      </c>
      <c r="I137" s="1" t="s">
        <v>16</v>
      </c>
      <c r="J137">
        <v>53</v>
      </c>
      <c r="K137">
        <v>15</v>
      </c>
      <c r="L137">
        <f t="shared" si="7"/>
        <v>68</v>
      </c>
      <c r="M137" s="1" t="s">
        <v>17</v>
      </c>
    </row>
    <row r="138" spans="1:13" x14ac:dyDescent="0.3">
      <c r="A138" s="1" t="s">
        <v>123</v>
      </c>
      <c r="B138" s="1" t="s">
        <v>124</v>
      </c>
      <c r="C138" s="1" t="s">
        <v>170</v>
      </c>
      <c r="D138" s="1" t="str">
        <f t="shared" si="8"/>
        <v>Pippa Howard Mercer</v>
      </c>
      <c r="E138" s="1" t="str">
        <f t="shared" si="6"/>
        <v>PIPPA HOWARD MERCER</v>
      </c>
      <c r="F138" s="1" t="s">
        <v>473</v>
      </c>
      <c r="G138" s="1" t="s">
        <v>474</v>
      </c>
      <c r="H138" s="1" t="s">
        <v>15</v>
      </c>
      <c r="I138" s="1" t="s">
        <v>23</v>
      </c>
      <c r="J138">
        <v>49</v>
      </c>
      <c r="K138">
        <v>0</v>
      </c>
      <c r="L138">
        <f t="shared" si="7"/>
        <v>49</v>
      </c>
      <c r="M138" s="1" t="s">
        <v>17</v>
      </c>
    </row>
    <row r="139" spans="1:13" x14ac:dyDescent="0.3">
      <c r="A139" s="1" t="s">
        <v>475</v>
      </c>
      <c r="B139" s="1" t="s">
        <v>31</v>
      </c>
      <c r="C139" s="1" t="s">
        <v>76</v>
      </c>
      <c r="D139" s="1" t="str">
        <f t="shared" si="8"/>
        <v>Chloe Bennett Quinn</v>
      </c>
      <c r="E139" s="1" t="str">
        <f t="shared" si="6"/>
        <v>CHLOE BENNETT QUINN</v>
      </c>
      <c r="F139" s="1" t="s">
        <v>476</v>
      </c>
      <c r="G139" s="1" t="s">
        <v>477</v>
      </c>
      <c r="H139" s="1" t="s">
        <v>15</v>
      </c>
      <c r="I139" s="1" t="s">
        <v>16</v>
      </c>
      <c r="J139">
        <v>54</v>
      </c>
      <c r="K139">
        <v>19</v>
      </c>
      <c r="L139">
        <f t="shared" si="7"/>
        <v>73</v>
      </c>
      <c r="M139" s="1" t="s">
        <v>17</v>
      </c>
    </row>
    <row r="140" spans="1:13" x14ac:dyDescent="0.3">
      <c r="A140" s="1" t="s">
        <v>478</v>
      </c>
      <c r="B140" s="1" t="s">
        <v>20</v>
      </c>
      <c r="C140" s="1" t="s">
        <v>66</v>
      </c>
      <c r="D140" s="1" t="str">
        <f t="shared" si="8"/>
        <v>Peter Carter Dale</v>
      </c>
      <c r="E140" s="1" t="str">
        <f t="shared" si="6"/>
        <v>PETER CARTER DALE</v>
      </c>
      <c r="F140" s="1" t="s">
        <v>479</v>
      </c>
      <c r="G140" s="1" t="s">
        <v>480</v>
      </c>
      <c r="H140" s="1" t="s">
        <v>15</v>
      </c>
      <c r="I140" s="1" t="s">
        <v>16</v>
      </c>
      <c r="J140">
        <v>35</v>
      </c>
      <c r="K140">
        <v>21</v>
      </c>
      <c r="L140">
        <f t="shared" si="7"/>
        <v>56</v>
      </c>
      <c r="M140" s="1" t="s">
        <v>17</v>
      </c>
    </row>
    <row r="141" spans="1:13" x14ac:dyDescent="0.3">
      <c r="A141" s="1" t="s">
        <v>127</v>
      </c>
      <c r="B141" s="1" t="s">
        <v>41</v>
      </c>
      <c r="C141" s="1" t="s">
        <v>128</v>
      </c>
      <c r="D141" s="1" t="str">
        <f t="shared" si="8"/>
        <v>Daniel Morton Spencer</v>
      </c>
      <c r="E141" s="1" t="str">
        <f t="shared" si="6"/>
        <v>DANIEL MORTON SPENCER</v>
      </c>
      <c r="F141" s="1" t="s">
        <v>481</v>
      </c>
      <c r="G141" s="1" t="s">
        <v>482</v>
      </c>
      <c r="H141" s="1" t="s">
        <v>15</v>
      </c>
      <c r="I141" s="1" t="s">
        <v>16</v>
      </c>
      <c r="J141">
        <v>21</v>
      </c>
      <c r="K141">
        <v>17</v>
      </c>
      <c r="L141">
        <f t="shared" si="7"/>
        <v>38</v>
      </c>
      <c r="M141" s="1" t="s">
        <v>17</v>
      </c>
    </row>
    <row r="142" spans="1:13" x14ac:dyDescent="0.3">
      <c r="A142" s="1" t="s">
        <v>146</v>
      </c>
      <c r="B142" s="1" t="s">
        <v>36</v>
      </c>
      <c r="C142" s="1" t="s">
        <v>26</v>
      </c>
      <c r="D142" s="1" t="str">
        <f t="shared" si="8"/>
        <v>Megan Reed Hayes</v>
      </c>
      <c r="E142" s="1" t="str">
        <f t="shared" si="6"/>
        <v>MEGAN REED HAYES</v>
      </c>
      <c r="F142" s="1" t="s">
        <v>483</v>
      </c>
      <c r="G142" s="1" t="s">
        <v>484</v>
      </c>
      <c r="H142" s="1" t="s">
        <v>15</v>
      </c>
      <c r="I142" s="1" t="s">
        <v>16</v>
      </c>
      <c r="J142">
        <v>49</v>
      </c>
      <c r="K142">
        <v>22</v>
      </c>
      <c r="L142">
        <f t="shared" si="7"/>
        <v>71</v>
      </c>
      <c r="M142" s="1" t="s">
        <v>17</v>
      </c>
    </row>
    <row r="143" spans="1:13" x14ac:dyDescent="0.3">
      <c r="A143" s="1" t="s">
        <v>10</v>
      </c>
      <c r="B143" s="1" t="s">
        <v>26</v>
      </c>
      <c r="C143" s="1" t="s">
        <v>76</v>
      </c>
      <c r="D143" s="1" t="str">
        <f t="shared" si="8"/>
        <v>Oliver Hayes Quinn</v>
      </c>
      <c r="E143" s="1" t="str">
        <f t="shared" si="6"/>
        <v>OLIVER HAYES QUINN</v>
      </c>
      <c r="F143" s="1" t="s">
        <v>485</v>
      </c>
      <c r="G143" s="1" t="s">
        <v>486</v>
      </c>
      <c r="H143" s="1" t="s">
        <v>15</v>
      </c>
      <c r="I143" s="1" t="s">
        <v>16</v>
      </c>
      <c r="J143">
        <v>60</v>
      </c>
      <c r="K143">
        <v>25</v>
      </c>
      <c r="L143">
        <f t="shared" si="7"/>
        <v>85</v>
      </c>
      <c r="M143" s="1" t="s">
        <v>17</v>
      </c>
    </row>
    <row r="144" spans="1:13" x14ac:dyDescent="0.3">
      <c r="A144" s="1" t="s">
        <v>99</v>
      </c>
      <c r="B144" s="1" t="s">
        <v>86</v>
      </c>
      <c r="C144" s="1" t="s">
        <v>20</v>
      </c>
      <c r="D144" s="1" t="str">
        <f t="shared" si="8"/>
        <v>Edward Shaw Carter</v>
      </c>
      <c r="E144" s="1" t="str">
        <f t="shared" si="6"/>
        <v>EDWARD SHAW CARTER</v>
      </c>
      <c r="F144" s="1" t="s">
        <v>487</v>
      </c>
      <c r="G144" s="1" t="s">
        <v>488</v>
      </c>
      <c r="H144" s="1" t="s">
        <v>15</v>
      </c>
      <c r="I144" s="1" t="s">
        <v>16</v>
      </c>
      <c r="J144">
        <v>61</v>
      </c>
      <c r="K144">
        <v>23</v>
      </c>
      <c r="L144">
        <f t="shared" si="7"/>
        <v>84</v>
      </c>
      <c r="M144" s="1" t="s">
        <v>17</v>
      </c>
    </row>
    <row r="145" spans="1:13" x14ac:dyDescent="0.3">
      <c r="A145" s="1" t="s">
        <v>426</v>
      </c>
      <c r="B145" s="1" t="s">
        <v>170</v>
      </c>
      <c r="C145" s="1" t="s">
        <v>66</v>
      </c>
      <c r="D145" s="1" t="str">
        <f t="shared" si="8"/>
        <v>Henry Mercer Dale</v>
      </c>
      <c r="E145" s="1" t="str">
        <f t="shared" si="6"/>
        <v>HENRY MERCER DALE</v>
      </c>
      <c r="F145" s="1" t="s">
        <v>489</v>
      </c>
      <c r="G145" s="1" t="s">
        <v>490</v>
      </c>
      <c r="H145" s="1" t="s">
        <v>15</v>
      </c>
      <c r="I145" s="1" t="s">
        <v>16</v>
      </c>
      <c r="J145">
        <v>63</v>
      </c>
      <c r="K145">
        <v>22</v>
      </c>
      <c r="L145">
        <f t="shared" si="7"/>
        <v>85</v>
      </c>
      <c r="M145" s="1" t="s">
        <v>17</v>
      </c>
    </row>
    <row r="146" spans="1:13" x14ac:dyDescent="0.3">
      <c r="A146" s="1" t="s">
        <v>431</v>
      </c>
      <c r="B146" s="1" t="s">
        <v>76</v>
      </c>
      <c r="C146" s="1" t="s">
        <v>26</v>
      </c>
      <c r="D146" s="1" t="str">
        <f t="shared" si="8"/>
        <v>Poppy Quinn Hayes</v>
      </c>
      <c r="E146" s="1" t="str">
        <f t="shared" si="6"/>
        <v>POPPY QUINN HAYES</v>
      </c>
      <c r="F146" s="1" t="s">
        <v>491</v>
      </c>
      <c r="G146" s="1" t="s">
        <v>492</v>
      </c>
      <c r="H146" s="1" t="s">
        <v>15</v>
      </c>
      <c r="I146" s="1" t="s">
        <v>16</v>
      </c>
      <c r="J146">
        <v>46</v>
      </c>
      <c r="K146">
        <v>21</v>
      </c>
      <c r="L146">
        <f t="shared" si="7"/>
        <v>67</v>
      </c>
      <c r="M146" s="1" t="s">
        <v>17</v>
      </c>
    </row>
    <row r="147" spans="1:13" x14ac:dyDescent="0.3">
      <c r="A147" s="1" t="s">
        <v>493</v>
      </c>
      <c r="B147" s="1" t="s">
        <v>420</v>
      </c>
      <c r="C147" s="1" t="s">
        <v>128</v>
      </c>
      <c r="D147" s="1" t="str">
        <f t="shared" si="8"/>
        <v>Jonathan White Spencer</v>
      </c>
      <c r="E147" s="1" t="str">
        <f t="shared" si="6"/>
        <v>JONATHAN WHITE SPENCER</v>
      </c>
      <c r="F147" s="1" t="s">
        <v>494</v>
      </c>
      <c r="G147" s="1" t="s">
        <v>495</v>
      </c>
      <c r="H147" s="1" t="s">
        <v>15</v>
      </c>
      <c r="I147" s="1" t="s">
        <v>23</v>
      </c>
      <c r="J147">
        <v>43</v>
      </c>
      <c r="K147">
        <v>0</v>
      </c>
      <c r="L147">
        <f t="shared" si="7"/>
        <v>43</v>
      </c>
      <c r="M147" s="1" t="s">
        <v>17</v>
      </c>
    </row>
    <row r="148" spans="1:13" x14ac:dyDescent="0.3">
      <c r="A148" s="1" t="s">
        <v>496</v>
      </c>
      <c r="B148" s="1" t="s">
        <v>420</v>
      </c>
      <c r="C148" s="1" t="s">
        <v>170</v>
      </c>
      <c r="D148" s="1" t="str">
        <f t="shared" si="8"/>
        <v>Lawrence White Mercer</v>
      </c>
      <c r="E148" s="1" t="str">
        <f t="shared" si="6"/>
        <v>LAWRENCE WHITE MERCER</v>
      </c>
      <c r="F148" s="1" t="s">
        <v>497</v>
      </c>
      <c r="G148" s="1" t="s">
        <v>498</v>
      </c>
      <c r="H148" s="1" t="s">
        <v>15</v>
      </c>
      <c r="I148" s="1" t="s">
        <v>16</v>
      </c>
      <c r="J148">
        <v>53</v>
      </c>
      <c r="K148">
        <v>20</v>
      </c>
      <c r="L148">
        <f t="shared" si="7"/>
        <v>73</v>
      </c>
      <c r="M148" s="1" t="s">
        <v>17</v>
      </c>
    </row>
    <row r="149" spans="1:13" x14ac:dyDescent="0.3">
      <c r="A149" s="1" t="s">
        <v>260</v>
      </c>
      <c r="B149" s="1" t="s">
        <v>420</v>
      </c>
      <c r="C149" s="1" t="s">
        <v>20</v>
      </c>
      <c r="D149" s="1" t="str">
        <f t="shared" si="8"/>
        <v>Simon White Carter</v>
      </c>
      <c r="E149" s="1" t="str">
        <f t="shared" si="6"/>
        <v>SIMON WHITE CARTER</v>
      </c>
      <c r="F149" s="1" t="s">
        <v>499</v>
      </c>
      <c r="G149" s="1" t="s">
        <v>500</v>
      </c>
      <c r="H149" s="1" t="s">
        <v>15</v>
      </c>
      <c r="I149" s="1" t="s">
        <v>16</v>
      </c>
      <c r="J149">
        <v>59</v>
      </c>
      <c r="K149">
        <v>16</v>
      </c>
      <c r="L149">
        <f t="shared" si="7"/>
        <v>75</v>
      </c>
      <c r="M149" s="1" t="s">
        <v>17</v>
      </c>
    </row>
    <row r="150" spans="1:13" x14ac:dyDescent="0.3">
      <c r="A150" s="1" t="s">
        <v>99</v>
      </c>
      <c r="B150" s="1" t="s">
        <v>420</v>
      </c>
      <c r="C150" s="1" t="s">
        <v>66</v>
      </c>
      <c r="D150" s="1" t="str">
        <f t="shared" si="8"/>
        <v>Edward White Dale</v>
      </c>
      <c r="E150" s="1" t="str">
        <f t="shared" si="6"/>
        <v>EDWARD WHITE DALE</v>
      </c>
      <c r="F150" s="1" t="s">
        <v>501</v>
      </c>
      <c r="G150" s="1" t="s">
        <v>502</v>
      </c>
      <c r="H150" s="1" t="s">
        <v>15</v>
      </c>
      <c r="I150" s="1" t="s">
        <v>16</v>
      </c>
      <c r="J150">
        <v>41</v>
      </c>
      <c r="K150">
        <v>22</v>
      </c>
      <c r="L150">
        <f t="shared" si="7"/>
        <v>63</v>
      </c>
      <c r="M150" s="1" t="s">
        <v>17</v>
      </c>
    </row>
    <row r="151" spans="1:13" x14ac:dyDescent="0.3">
      <c r="A151" s="1" t="s">
        <v>503</v>
      </c>
      <c r="B151" s="1" t="s">
        <v>420</v>
      </c>
      <c r="C151" s="1" t="s">
        <v>76</v>
      </c>
      <c r="D151" s="1" t="str">
        <f t="shared" si="8"/>
        <v>Martha White Quinn</v>
      </c>
      <c r="E151" s="1" t="str">
        <f t="shared" si="6"/>
        <v>MARTHA WHITE QUINN</v>
      </c>
      <c r="F151" s="1" t="s">
        <v>504</v>
      </c>
      <c r="G151" s="1" t="s">
        <v>505</v>
      </c>
      <c r="H151" s="1" t="s">
        <v>15</v>
      </c>
      <c r="I151" s="1" t="s">
        <v>16</v>
      </c>
      <c r="J151">
        <v>39</v>
      </c>
      <c r="K151">
        <v>24</v>
      </c>
      <c r="L151">
        <f t="shared" si="7"/>
        <v>63</v>
      </c>
      <c r="M151" s="1" t="s">
        <v>17</v>
      </c>
    </row>
    <row r="152" spans="1:13" x14ac:dyDescent="0.3">
      <c r="A152" s="1" t="s">
        <v>493</v>
      </c>
      <c r="B152" s="1" t="s">
        <v>420</v>
      </c>
      <c r="C152" s="1" t="s">
        <v>26</v>
      </c>
      <c r="D152" s="1" t="str">
        <f t="shared" si="8"/>
        <v>Jonathan White Hayes</v>
      </c>
      <c r="E152" s="1" t="str">
        <f t="shared" si="6"/>
        <v>JONATHAN WHITE HAYES</v>
      </c>
      <c r="F152" s="1" t="s">
        <v>506</v>
      </c>
      <c r="G152" s="1" t="s">
        <v>507</v>
      </c>
      <c r="H152" s="1" t="s">
        <v>15</v>
      </c>
      <c r="I152" s="1" t="s">
        <v>16</v>
      </c>
      <c r="J152">
        <v>26</v>
      </c>
      <c r="K152">
        <v>18</v>
      </c>
      <c r="L152">
        <f t="shared" si="7"/>
        <v>44</v>
      </c>
      <c r="M152" s="1" t="s">
        <v>17</v>
      </c>
    </row>
    <row r="153" spans="1:13" x14ac:dyDescent="0.3">
      <c r="A153" s="1" t="s">
        <v>419</v>
      </c>
      <c r="B153" s="1" t="s">
        <v>420</v>
      </c>
      <c r="C153" s="1" t="s">
        <v>20</v>
      </c>
      <c r="D153" s="1" t="str">
        <f t="shared" si="8"/>
        <v>Eleanor White Carter</v>
      </c>
      <c r="E153" s="1" t="str">
        <f t="shared" si="6"/>
        <v>ELEANOR WHITE CARTER</v>
      </c>
      <c r="F153" s="1" t="s">
        <v>508</v>
      </c>
      <c r="G153" s="1" t="s">
        <v>509</v>
      </c>
      <c r="H153" s="1" t="s">
        <v>15</v>
      </c>
      <c r="I153" s="1" t="s">
        <v>16</v>
      </c>
      <c r="J153">
        <v>30</v>
      </c>
      <c r="K153">
        <v>21</v>
      </c>
      <c r="L153">
        <f t="shared" si="7"/>
        <v>51</v>
      </c>
      <c r="M153" s="1" t="s">
        <v>17</v>
      </c>
    </row>
    <row r="154" spans="1:13" x14ac:dyDescent="0.3">
      <c r="A154" s="1" t="s">
        <v>423</v>
      </c>
      <c r="B154" s="1" t="s">
        <v>420</v>
      </c>
      <c r="C154" s="1" t="s">
        <v>170</v>
      </c>
      <c r="D154" s="1" t="str">
        <f t="shared" si="8"/>
        <v>Alice White Mercer</v>
      </c>
      <c r="E154" s="1" t="str">
        <f t="shared" si="6"/>
        <v>ALICE WHITE MERCER</v>
      </c>
      <c r="F154" s="1" t="s">
        <v>510</v>
      </c>
      <c r="G154" s="1" t="s">
        <v>511</v>
      </c>
      <c r="H154" s="1" t="s">
        <v>15</v>
      </c>
      <c r="I154" s="1" t="s">
        <v>16</v>
      </c>
      <c r="J154">
        <v>56</v>
      </c>
      <c r="K154">
        <v>25</v>
      </c>
      <c r="L154">
        <f t="shared" si="7"/>
        <v>81</v>
      </c>
      <c r="M154" s="1" t="s">
        <v>109</v>
      </c>
    </row>
    <row r="155" spans="1:13" x14ac:dyDescent="0.3">
      <c r="A155" s="1" t="s">
        <v>426</v>
      </c>
      <c r="B155" s="1" t="s">
        <v>420</v>
      </c>
      <c r="C155" s="1" t="s">
        <v>66</v>
      </c>
      <c r="D155" s="1" t="str">
        <f t="shared" si="8"/>
        <v>Henry White Dale</v>
      </c>
      <c r="E155" s="1" t="str">
        <f t="shared" si="6"/>
        <v>HENRY WHITE DALE</v>
      </c>
      <c r="F155" s="1" t="s">
        <v>512</v>
      </c>
      <c r="G155" s="1" t="s">
        <v>513</v>
      </c>
      <c r="H155" s="1" t="s">
        <v>15</v>
      </c>
      <c r="I155" s="1" t="s">
        <v>16</v>
      </c>
      <c r="J155">
        <v>58</v>
      </c>
      <c r="K155">
        <v>22</v>
      </c>
      <c r="L155">
        <f t="shared" si="7"/>
        <v>80</v>
      </c>
      <c r="M155" s="1" t="s">
        <v>109</v>
      </c>
    </row>
    <row r="156" spans="1:13" x14ac:dyDescent="0.3">
      <c r="A156" s="1" t="s">
        <v>431</v>
      </c>
      <c r="B156" s="1" t="s">
        <v>420</v>
      </c>
      <c r="C156" s="1" t="s">
        <v>76</v>
      </c>
      <c r="D156" s="1" t="str">
        <f t="shared" si="8"/>
        <v>Poppy White Quinn</v>
      </c>
      <c r="E156" s="1" t="str">
        <f t="shared" si="6"/>
        <v>POPPY WHITE QUINN</v>
      </c>
      <c r="F156" s="1" t="s">
        <v>514</v>
      </c>
      <c r="G156" s="1" t="s">
        <v>515</v>
      </c>
      <c r="H156" s="1" t="s">
        <v>15</v>
      </c>
      <c r="I156" s="1" t="s">
        <v>16</v>
      </c>
      <c r="J156">
        <v>49</v>
      </c>
      <c r="K156">
        <v>20</v>
      </c>
      <c r="L156">
        <f t="shared" si="7"/>
        <v>69</v>
      </c>
      <c r="M156" s="1" t="s">
        <v>17</v>
      </c>
    </row>
    <row r="157" spans="1:13" x14ac:dyDescent="0.3">
      <c r="A157" s="1" t="s">
        <v>10</v>
      </c>
      <c r="B157" s="1" t="s">
        <v>12</v>
      </c>
      <c r="C157" s="1" t="s">
        <v>20</v>
      </c>
      <c r="D157" s="1" t="str">
        <f t="shared" si="8"/>
        <v>Oliver Whitman Carter</v>
      </c>
      <c r="E157" s="1" t="str">
        <f t="shared" si="6"/>
        <v>OLIVER WHITMAN CARTER</v>
      </c>
      <c r="F157" s="1" t="s">
        <v>516</v>
      </c>
      <c r="G157" s="1" t="s">
        <v>517</v>
      </c>
      <c r="H157" s="1" t="s">
        <v>15</v>
      </c>
      <c r="I157" s="1" t="s">
        <v>16</v>
      </c>
      <c r="J157">
        <v>44</v>
      </c>
      <c r="K157">
        <v>25</v>
      </c>
      <c r="L157">
        <f t="shared" si="7"/>
        <v>69</v>
      </c>
      <c r="M157" s="1" t="s">
        <v>109</v>
      </c>
    </row>
    <row r="158" spans="1:13" x14ac:dyDescent="0.3">
      <c r="A158" s="1" t="s">
        <v>24</v>
      </c>
      <c r="B158" s="1" t="s">
        <v>12</v>
      </c>
      <c r="C158" s="1" t="s">
        <v>26</v>
      </c>
      <c r="D158" s="1" t="str">
        <f t="shared" si="8"/>
        <v>Amelia Whitman Hayes</v>
      </c>
      <c r="E158" s="1" t="str">
        <f t="shared" si="6"/>
        <v>AMELIA WHITMAN HAYES</v>
      </c>
      <c r="F158" s="1" t="s">
        <v>518</v>
      </c>
      <c r="G158" s="1" t="s">
        <v>519</v>
      </c>
      <c r="H158" s="1" t="s">
        <v>15</v>
      </c>
      <c r="I158" s="1" t="s">
        <v>16</v>
      </c>
      <c r="J158">
        <v>57</v>
      </c>
      <c r="K158">
        <v>22</v>
      </c>
      <c r="L158">
        <f t="shared" si="7"/>
        <v>79</v>
      </c>
      <c r="M158" s="1" t="s">
        <v>17</v>
      </c>
    </row>
    <row r="159" spans="1:13" x14ac:dyDescent="0.3">
      <c r="A159" s="1" t="s">
        <v>49</v>
      </c>
      <c r="B159" s="1" t="s">
        <v>12</v>
      </c>
      <c r="C159" s="1" t="s">
        <v>128</v>
      </c>
      <c r="D159" s="1" t="str">
        <f t="shared" si="8"/>
        <v>Emily Whitman Spencer</v>
      </c>
      <c r="E159" s="1" t="str">
        <f t="shared" si="6"/>
        <v>EMILY WHITMAN SPENCER</v>
      </c>
      <c r="F159" s="1" t="s">
        <v>520</v>
      </c>
      <c r="G159" s="1" t="s">
        <v>521</v>
      </c>
      <c r="H159" s="1" t="s">
        <v>15</v>
      </c>
      <c r="I159" s="1" t="s">
        <v>16</v>
      </c>
      <c r="J159">
        <v>21</v>
      </c>
      <c r="K159">
        <v>19</v>
      </c>
      <c r="L159">
        <f t="shared" si="7"/>
        <v>40</v>
      </c>
      <c r="M159" s="1" t="s">
        <v>17</v>
      </c>
    </row>
    <row r="160" spans="1:13" x14ac:dyDescent="0.3">
      <c r="A160" s="1" t="s">
        <v>59</v>
      </c>
      <c r="B160" s="1" t="s">
        <v>12</v>
      </c>
      <c r="C160" s="1" t="s">
        <v>66</v>
      </c>
      <c r="D160" s="1" t="str">
        <f t="shared" si="8"/>
        <v>Sophie Whitman Dale</v>
      </c>
      <c r="E160" s="1" t="str">
        <f t="shared" si="6"/>
        <v>SOPHIE WHITMAN DALE</v>
      </c>
      <c r="F160" s="1" t="s">
        <v>522</v>
      </c>
      <c r="G160" s="1" t="s">
        <v>523</v>
      </c>
      <c r="H160" s="1" t="s">
        <v>15</v>
      </c>
      <c r="I160" s="1" t="s">
        <v>16</v>
      </c>
      <c r="J160">
        <v>45</v>
      </c>
      <c r="K160">
        <v>23</v>
      </c>
      <c r="L160">
        <f t="shared" si="7"/>
        <v>68</v>
      </c>
      <c r="M160" s="1" t="s">
        <v>17</v>
      </c>
    </row>
    <row r="161" spans="1:13" x14ac:dyDescent="0.3">
      <c r="A161" s="1" t="s">
        <v>99</v>
      </c>
      <c r="B161" s="1" t="s">
        <v>12</v>
      </c>
      <c r="C161" s="1" t="s">
        <v>170</v>
      </c>
      <c r="D161" s="1" t="str">
        <f t="shared" si="8"/>
        <v>Edward Whitman Mercer</v>
      </c>
      <c r="E161" s="1" t="str">
        <f t="shared" si="6"/>
        <v>EDWARD WHITMAN MERCER</v>
      </c>
      <c r="F161" s="1" t="s">
        <v>524</v>
      </c>
      <c r="G161" s="1" t="s">
        <v>525</v>
      </c>
      <c r="H161" s="1" t="s">
        <v>15</v>
      </c>
      <c r="I161" s="1" t="s">
        <v>16</v>
      </c>
      <c r="J161">
        <v>53</v>
      </c>
      <c r="K161">
        <v>17</v>
      </c>
      <c r="L161">
        <f t="shared" si="7"/>
        <v>70</v>
      </c>
      <c r="M161" s="1" t="s">
        <v>17</v>
      </c>
    </row>
    <row r="162" spans="1:13" x14ac:dyDescent="0.3">
      <c r="A162" s="1" t="s">
        <v>127</v>
      </c>
      <c r="B162" s="1" t="s">
        <v>12</v>
      </c>
      <c r="C162" s="1" t="s">
        <v>20</v>
      </c>
      <c r="D162" s="1" t="str">
        <f t="shared" si="8"/>
        <v>Daniel Whitman Carter</v>
      </c>
      <c r="E162" s="1" t="str">
        <f t="shared" si="6"/>
        <v>DANIEL WHITMAN CARTER</v>
      </c>
      <c r="F162" s="1" t="s">
        <v>526</v>
      </c>
      <c r="G162" s="1" t="s">
        <v>527</v>
      </c>
      <c r="H162" s="1" t="s">
        <v>15</v>
      </c>
      <c r="I162" s="1" t="s">
        <v>16</v>
      </c>
      <c r="J162">
        <v>32</v>
      </c>
      <c r="K162">
        <v>17</v>
      </c>
      <c r="L162">
        <f t="shared" si="7"/>
        <v>49</v>
      </c>
      <c r="M162" s="1" t="s">
        <v>17</v>
      </c>
    </row>
    <row r="163" spans="1:13" x14ac:dyDescent="0.3">
      <c r="A163" s="1" t="s">
        <v>142</v>
      </c>
      <c r="B163" s="1" t="s">
        <v>12</v>
      </c>
      <c r="C163" s="1" t="s">
        <v>26</v>
      </c>
      <c r="D163" s="1" t="str">
        <f t="shared" si="8"/>
        <v>Lucy Whitman Hayes</v>
      </c>
      <c r="E163" s="1" t="str">
        <f t="shared" si="6"/>
        <v>LUCY WHITMAN HAYES</v>
      </c>
      <c r="F163" s="1" t="s">
        <v>528</v>
      </c>
      <c r="G163" s="1" t="s">
        <v>529</v>
      </c>
      <c r="H163" s="1" t="s">
        <v>15</v>
      </c>
      <c r="I163" s="1" t="s">
        <v>16</v>
      </c>
      <c r="J163">
        <v>49</v>
      </c>
      <c r="K163">
        <v>25</v>
      </c>
      <c r="L163">
        <f t="shared" si="7"/>
        <v>74</v>
      </c>
      <c r="M163" s="1" t="s">
        <v>17</v>
      </c>
    </row>
    <row r="164" spans="1:13" x14ac:dyDescent="0.3">
      <c r="A164" s="1" t="s">
        <v>10</v>
      </c>
      <c r="B164" s="1" t="s">
        <v>20</v>
      </c>
      <c r="C164" s="1" t="s">
        <v>66</v>
      </c>
      <c r="D164" s="1" t="str">
        <f t="shared" si="8"/>
        <v>Oliver Carter Dale</v>
      </c>
      <c r="E164" s="1" t="str">
        <f t="shared" si="6"/>
        <v>OLIVER CARTER DALE</v>
      </c>
      <c r="F164" s="1" t="s">
        <v>530</v>
      </c>
      <c r="G164" s="1" t="s">
        <v>531</v>
      </c>
      <c r="H164" s="1" t="s">
        <v>15</v>
      </c>
      <c r="I164" s="1" t="s">
        <v>16</v>
      </c>
      <c r="J164">
        <v>54</v>
      </c>
      <c r="K164">
        <v>25</v>
      </c>
      <c r="L164">
        <f t="shared" si="7"/>
        <v>79</v>
      </c>
      <c r="M164" s="1" t="s">
        <v>109</v>
      </c>
    </row>
    <row r="165" spans="1:13" x14ac:dyDescent="0.3">
      <c r="A165" s="1" t="s">
        <v>18</v>
      </c>
      <c r="B165" s="1" t="s">
        <v>20</v>
      </c>
      <c r="C165" s="1" t="s">
        <v>76</v>
      </c>
      <c r="D165" s="1" t="str">
        <f t="shared" si="8"/>
        <v>George Carter Quinn</v>
      </c>
      <c r="E165" s="1" t="str">
        <f t="shared" si="6"/>
        <v>GEORGE CARTER QUINN</v>
      </c>
      <c r="F165" s="1" t="s">
        <v>532</v>
      </c>
      <c r="G165" s="1" t="s">
        <v>533</v>
      </c>
      <c r="H165" s="1" t="s">
        <v>15</v>
      </c>
      <c r="I165" s="1" t="s">
        <v>16</v>
      </c>
      <c r="J165">
        <v>30</v>
      </c>
      <c r="K165">
        <v>21</v>
      </c>
      <c r="L165">
        <f t="shared" si="7"/>
        <v>51</v>
      </c>
      <c r="M165" s="1" t="s">
        <v>17</v>
      </c>
    </row>
    <row r="166" spans="1:13" x14ac:dyDescent="0.3">
      <c r="A166" s="1" t="s">
        <v>39</v>
      </c>
      <c r="B166" s="1" t="s">
        <v>20</v>
      </c>
      <c r="C166" s="1" t="s">
        <v>26</v>
      </c>
      <c r="D166" s="1" t="str">
        <f t="shared" si="8"/>
        <v>Harry Carter Hayes</v>
      </c>
      <c r="E166" s="1" t="str">
        <f t="shared" si="6"/>
        <v>HARRY CARTER HAYES</v>
      </c>
      <c r="F166" s="1" t="s">
        <v>534</v>
      </c>
      <c r="G166" s="1" t="s">
        <v>535</v>
      </c>
      <c r="H166" s="1" t="s">
        <v>15</v>
      </c>
      <c r="I166" s="1" t="s">
        <v>16</v>
      </c>
      <c r="J166">
        <v>48</v>
      </c>
      <c r="K166">
        <v>20</v>
      </c>
      <c r="L166">
        <f t="shared" si="7"/>
        <v>68</v>
      </c>
      <c r="M166" s="1" t="s">
        <v>17</v>
      </c>
    </row>
    <row r="167" spans="1:13" x14ac:dyDescent="0.3">
      <c r="A167" s="1" t="s">
        <v>34</v>
      </c>
      <c r="B167" s="1" t="s">
        <v>20</v>
      </c>
      <c r="C167" s="1" t="s">
        <v>128</v>
      </c>
      <c r="D167" s="1" t="str">
        <f t="shared" si="8"/>
        <v>Isla Carter Spencer</v>
      </c>
      <c r="E167" s="1" t="str">
        <f t="shared" si="6"/>
        <v>ISLA CARTER SPENCER</v>
      </c>
      <c r="F167" s="1" t="s">
        <v>536</v>
      </c>
      <c r="G167" s="1" t="s">
        <v>537</v>
      </c>
      <c r="H167" s="1" t="s">
        <v>15</v>
      </c>
      <c r="I167" s="1" t="s">
        <v>16</v>
      </c>
      <c r="J167">
        <v>48</v>
      </c>
      <c r="K167">
        <v>22</v>
      </c>
      <c r="L167">
        <f t="shared" si="7"/>
        <v>70</v>
      </c>
      <c r="M167" s="1" t="s">
        <v>17</v>
      </c>
    </row>
    <row r="168" spans="1:13" x14ac:dyDescent="0.3">
      <c r="A168" s="1" t="s">
        <v>54</v>
      </c>
      <c r="B168" s="1" t="s">
        <v>20</v>
      </c>
      <c r="C168" s="1" t="s">
        <v>170</v>
      </c>
      <c r="D168" s="1" t="str">
        <f t="shared" si="8"/>
        <v>Thomas Carter Mercer</v>
      </c>
      <c r="E168" s="1" t="str">
        <f t="shared" si="6"/>
        <v>THOMAS CARTER MERCER</v>
      </c>
      <c r="F168" s="1" t="s">
        <v>538</v>
      </c>
      <c r="G168" s="1" t="s">
        <v>539</v>
      </c>
      <c r="H168" s="1" t="s">
        <v>15</v>
      </c>
      <c r="I168" s="1" t="s">
        <v>16</v>
      </c>
      <c r="J168">
        <v>28</v>
      </c>
      <c r="K168">
        <v>21</v>
      </c>
      <c r="L168">
        <f t="shared" si="7"/>
        <v>49</v>
      </c>
      <c r="M168" s="1" t="s">
        <v>17</v>
      </c>
    </row>
    <row r="169" spans="1:13" x14ac:dyDescent="0.3">
      <c r="A169" s="1" t="s">
        <v>89</v>
      </c>
      <c r="B169" s="1" t="s">
        <v>20</v>
      </c>
      <c r="C169" s="1" t="s">
        <v>66</v>
      </c>
      <c r="D169" s="1" t="str">
        <f t="shared" si="8"/>
        <v>Ella Carter Dale</v>
      </c>
      <c r="E169" s="1" t="str">
        <f t="shared" si="6"/>
        <v>ELLA CARTER DALE</v>
      </c>
      <c r="F169" s="1" t="s">
        <v>540</v>
      </c>
      <c r="G169" s="1" t="s">
        <v>541</v>
      </c>
      <c r="H169" s="1" t="s">
        <v>15</v>
      </c>
      <c r="I169" s="1" t="s">
        <v>16</v>
      </c>
      <c r="J169">
        <v>35</v>
      </c>
      <c r="K169">
        <v>24</v>
      </c>
      <c r="L169">
        <f t="shared" si="7"/>
        <v>59</v>
      </c>
      <c r="M169" s="1" t="s">
        <v>17</v>
      </c>
    </row>
    <row r="170" spans="1:13" x14ac:dyDescent="0.3">
      <c r="A170" s="1" t="s">
        <v>94</v>
      </c>
      <c r="B170" s="1" t="s">
        <v>20</v>
      </c>
      <c r="C170" s="1" t="s">
        <v>76</v>
      </c>
      <c r="D170" s="1" t="str">
        <f t="shared" si="8"/>
        <v>Ruby Carter Quinn</v>
      </c>
      <c r="E170" s="1" t="str">
        <f t="shared" si="6"/>
        <v>RUBY CARTER QUINN</v>
      </c>
      <c r="F170" s="1" t="s">
        <v>542</v>
      </c>
      <c r="G170" s="1" t="s">
        <v>543</v>
      </c>
      <c r="H170" s="1" t="s">
        <v>15</v>
      </c>
      <c r="I170" s="1" t="s">
        <v>16</v>
      </c>
      <c r="J170">
        <v>53</v>
      </c>
      <c r="K170">
        <v>20</v>
      </c>
      <c r="L170">
        <f t="shared" si="7"/>
        <v>73</v>
      </c>
      <c r="M170" s="1" t="s">
        <v>17</v>
      </c>
    </row>
    <row r="171" spans="1:13" x14ac:dyDescent="0.3">
      <c r="A171" s="1" t="s">
        <v>118</v>
      </c>
      <c r="B171" s="1" t="s">
        <v>20</v>
      </c>
      <c r="C171" s="1" t="s">
        <v>26</v>
      </c>
      <c r="D171" s="1" t="str">
        <f t="shared" si="8"/>
        <v>Matilda Carter Hayes</v>
      </c>
      <c r="E171" s="1" t="str">
        <f t="shared" si="6"/>
        <v>MATILDA CARTER HAYES</v>
      </c>
      <c r="F171" s="1" t="s">
        <v>544</v>
      </c>
      <c r="G171" s="1" t="s">
        <v>545</v>
      </c>
      <c r="H171" s="1" t="s">
        <v>15</v>
      </c>
      <c r="I171" s="1" t="s">
        <v>16</v>
      </c>
      <c r="J171">
        <v>60</v>
      </c>
      <c r="K171">
        <v>21</v>
      </c>
      <c r="L171">
        <f t="shared" si="7"/>
        <v>81</v>
      </c>
      <c r="M171" s="1" t="s">
        <v>17</v>
      </c>
    </row>
    <row r="172" spans="1:13" x14ac:dyDescent="0.3">
      <c r="A172" s="1" t="s">
        <v>123</v>
      </c>
      <c r="B172" s="1" t="s">
        <v>20</v>
      </c>
      <c r="C172" s="1" t="s">
        <v>128</v>
      </c>
      <c r="D172" s="1" t="str">
        <f t="shared" si="8"/>
        <v>Pippa Carter Spencer</v>
      </c>
      <c r="E172" s="1" t="str">
        <f t="shared" si="6"/>
        <v>PIPPA CARTER SPENCER</v>
      </c>
      <c r="F172" s="1" t="s">
        <v>546</v>
      </c>
      <c r="G172" s="1" t="s">
        <v>547</v>
      </c>
      <c r="H172" s="1" t="s">
        <v>15</v>
      </c>
      <c r="I172" s="1" t="s">
        <v>16</v>
      </c>
      <c r="J172">
        <v>51</v>
      </c>
      <c r="K172">
        <v>22</v>
      </c>
      <c r="L172">
        <f t="shared" si="7"/>
        <v>73</v>
      </c>
      <c r="M172" s="1" t="s">
        <v>109</v>
      </c>
    </row>
    <row r="173" spans="1:13" x14ac:dyDescent="0.3">
      <c r="A173" s="1" t="s">
        <v>475</v>
      </c>
      <c r="B173" s="1" t="s">
        <v>20</v>
      </c>
      <c r="C173" s="1" t="s">
        <v>170</v>
      </c>
      <c r="D173" s="1" t="str">
        <f t="shared" si="8"/>
        <v>Chloe Carter Mercer</v>
      </c>
      <c r="E173" s="1" t="str">
        <f t="shared" si="6"/>
        <v>CHLOE CARTER MERCER</v>
      </c>
      <c r="F173" s="1" t="s">
        <v>548</v>
      </c>
      <c r="G173" s="1" t="s">
        <v>549</v>
      </c>
      <c r="H173" s="1" t="s">
        <v>15</v>
      </c>
      <c r="I173" s="1" t="s">
        <v>16</v>
      </c>
      <c r="J173">
        <v>46</v>
      </c>
      <c r="K173">
        <v>25</v>
      </c>
      <c r="L173">
        <f t="shared" si="7"/>
        <v>71</v>
      </c>
      <c r="M173" s="1" t="s">
        <v>17</v>
      </c>
    </row>
    <row r="174" spans="1:13" x14ac:dyDescent="0.3">
      <c r="A174" s="1" t="s">
        <v>550</v>
      </c>
      <c r="B174" s="1" t="s">
        <v>551</v>
      </c>
      <c r="C174" s="1" t="s">
        <v>20</v>
      </c>
      <c r="D174" s="1" t="str">
        <f t="shared" si="8"/>
        <v>Aarav Patel Carter</v>
      </c>
      <c r="E174" s="1" t="str">
        <f t="shared" si="6"/>
        <v>AARAV PATEL CARTER</v>
      </c>
      <c r="F174" s="1" t="s">
        <v>552</v>
      </c>
      <c r="G174" s="1" t="s">
        <v>553</v>
      </c>
      <c r="H174" s="1" t="s">
        <v>15</v>
      </c>
      <c r="I174" s="1" t="s">
        <v>16</v>
      </c>
      <c r="J174">
        <v>70</v>
      </c>
      <c r="K174">
        <v>19</v>
      </c>
      <c r="L174">
        <f t="shared" si="7"/>
        <v>89</v>
      </c>
      <c r="M174" s="1" t="s">
        <v>17</v>
      </c>
    </row>
    <row r="175" spans="1:13" x14ac:dyDescent="0.3">
      <c r="A175" s="1" t="s">
        <v>554</v>
      </c>
      <c r="B175" s="1" t="s">
        <v>555</v>
      </c>
      <c r="C175" s="1" t="s">
        <v>26</v>
      </c>
      <c r="D175" s="1" t="str">
        <f t="shared" si="8"/>
        <v>Anaya Kapoor Hayes</v>
      </c>
      <c r="E175" s="1" t="str">
        <f t="shared" si="6"/>
        <v>ANAYA KAPOOR HAYES</v>
      </c>
      <c r="F175" s="1" t="s">
        <v>556</v>
      </c>
      <c r="G175" s="1" t="s">
        <v>557</v>
      </c>
      <c r="H175" s="1" t="s">
        <v>15</v>
      </c>
      <c r="I175" s="1" t="s">
        <v>16</v>
      </c>
      <c r="J175">
        <v>46</v>
      </c>
      <c r="K175">
        <v>20</v>
      </c>
      <c r="L175">
        <f t="shared" si="7"/>
        <v>66</v>
      </c>
      <c r="M175" s="1" t="s">
        <v>17</v>
      </c>
    </row>
    <row r="176" spans="1:13" x14ac:dyDescent="0.3">
      <c r="A176" s="1" t="s">
        <v>558</v>
      </c>
      <c r="B176" s="1" t="s">
        <v>559</v>
      </c>
      <c r="C176" s="1" t="s">
        <v>66</v>
      </c>
      <c r="D176" s="1" t="str">
        <f t="shared" si="8"/>
        <v>Arjun Singh Dale</v>
      </c>
      <c r="E176" s="1" t="str">
        <f t="shared" si="6"/>
        <v>ARJUN SINGH DALE</v>
      </c>
      <c r="F176" s="1" t="s">
        <v>560</v>
      </c>
      <c r="G176" s="1" t="s">
        <v>561</v>
      </c>
      <c r="H176" s="1" t="s">
        <v>15</v>
      </c>
      <c r="I176" s="1" t="s">
        <v>16</v>
      </c>
      <c r="J176">
        <v>60</v>
      </c>
      <c r="K176">
        <v>21</v>
      </c>
      <c r="L176">
        <f t="shared" si="7"/>
        <v>81</v>
      </c>
      <c r="M176" s="1" t="s">
        <v>17</v>
      </c>
    </row>
    <row r="177" spans="1:13" x14ac:dyDescent="0.3">
      <c r="A177" s="1" t="s">
        <v>562</v>
      </c>
      <c r="B177" s="1" t="s">
        <v>563</v>
      </c>
      <c r="C177" s="1" t="s">
        <v>128</v>
      </c>
      <c r="D177" s="1" t="str">
        <f t="shared" si="8"/>
        <v>Kiara Mehta Spencer</v>
      </c>
      <c r="E177" s="1" t="str">
        <f t="shared" si="6"/>
        <v>KIARA MEHTA SPENCER</v>
      </c>
      <c r="F177" s="1" t="s">
        <v>564</v>
      </c>
      <c r="G177" s="1" t="s">
        <v>565</v>
      </c>
      <c r="H177" s="1" t="s">
        <v>15</v>
      </c>
      <c r="I177" s="1" t="s">
        <v>16</v>
      </c>
      <c r="J177">
        <v>42</v>
      </c>
      <c r="K177">
        <v>24</v>
      </c>
      <c r="L177">
        <f t="shared" si="7"/>
        <v>66</v>
      </c>
      <c r="M177" s="1" t="s">
        <v>17</v>
      </c>
    </row>
    <row r="178" spans="1:13" x14ac:dyDescent="0.3">
      <c r="A178" s="1" t="s">
        <v>566</v>
      </c>
      <c r="B178" s="1" t="s">
        <v>567</v>
      </c>
      <c r="C178" s="1" t="s">
        <v>76</v>
      </c>
      <c r="D178" s="1" t="str">
        <f t="shared" si="8"/>
        <v>Rohan Iyer Quinn</v>
      </c>
      <c r="E178" s="1" t="str">
        <f t="shared" si="6"/>
        <v>ROHAN IYER QUINN</v>
      </c>
      <c r="F178" s="1" t="s">
        <v>568</v>
      </c>
      <c r="G178" s="1" t="s">
        <v>569</v>
      </c>
      <c r="H178" s="1" t="s">
        <v>15</v>
      </c>
      <c r="I178" s="1" t="s">
        <v>16</v>
      </c>
      <c r="J178">
        <v>51</v>
      </c>
      <c r="K178">
        <v>25</v>
      </c>
      <c r="L178">
        <f t="shared" si="7"/>
        <v>76</v>
      </c>
      <c r="M178" s="1" t="s">
        <v>17</v>
      </c>
    </row>
    <row r="179" spans="1:13" x14ac:dyDescent="0.3">
      <c r="A179" s="1" t="s">
        <v>570</v>
      </c>
      <c r="B179" s="1" t="s">
        <v>571</v>
      </c>
      <c r="C179" s="1" t="s">
        <v>170</v>
      </c>
      <c r="D179" s="1" t="str">
        <f t="shared" si="8"/>
        <v>Diya Reddy Mercer</v>
      </c>
      <c r="E179" s="1" t="str">
        <f t="shared" si="6"/>
        <v>DIYA REDDY MERCER</v>
      </c>
      <c r="F179" s="1" t="s">
        <v>572</v>
      </c>
      <c r="G179" s="1" t="s">
        <v>573</v>
      </c>
      <c r="H179" s="1" t="s">
        <v>15</v>
      </c>
      <c r="I179" s="1" t="s">
        <v>16</v>
      </c>
      <c r="J179">
        <v>28</v>
      </c>
      <c r="K179">
        <v>20</v>
      </c>
      <c r="L179">
        <f t="shared" si="7"/>
        <v>48</v>
      </c>
      <c r="M179" s="1" t="s">
        <v>17</v>
      </c>
    </row>
    <row r="180" spans="1:13" x14ac:dyDescent="0.3">
      <c r="A180" s="1" t="s">
        <v>574</v>
      </c>
      <c r="B180" s="1" t="s">
        <v>575</v>
      </c>
      <c r="C180" s="1" t="s">
        <v>20</v>
      </c>
      <c r="D180" s="1" t="str">
        <f t="shared" si="8"/>
        <v>Neil Gupta Carter</v>
      </c>
      <c r="E180" s="1" t="str">
        <f t="shared" si="6"/>
        <v>NEIL GUPTA CARTER</v>
      </c>
      <c r="F180" s="1" t="s">
        <v>576</v>
      </c>
      <c r="G180" s="1" t="s">
        <v>577</v>
      </c>
      <c r="H180" s="1" t="s">
        <v>15</v>
      </c>
      <c r="I180" s="1" t="s">
        <v>16</v>
      </c>
      <c r="J180">
        <v>47</v>
      </c>
      <c r="K180">
        <v>14</v>
      </c>
      <c r="L180">
        <f t="shared" si="7"/>
        <v>61</v>
      </c>
      <c r="M180" s="1" t="s">
        <v>17</v>
      </c>
    </row>
    <row r="181" spans="1:13" x14ac:dyDescent="0.3">
      <c r="A181" s="1" t="s">
        <v>578</v>
      </c>
      <c r="B181" s="1" t="s">
        <v>579</v>
      </c>
      <c r="C181" s="1" t="s">
        <v>26</v>
      </c>
      <c r="D181" s="1" t="str">
        <f t="shared" si="8"/>
        <v>Myra Oberoi Hayes</v>
      </c>
      <c r="E181" s="1" t="str">
        <f t="shared" si="6"/>
        <v>MYRA OBEROI HAYES</v>
      </c>
      <c r="F181" s="1" t="s">
        <v>580</v>
      </c>
      <c r="G181" s="1" t="s">
        <v>581</v>
      </c>
      <c r="H181" s="1" t="s">
        <v>15</v>
      </c>
      <c r="I181" s="1" t="s">
        <v>16</v>
      </c>
      <c r="J181">
        <v>28</v>
      </c>
      <c r="K181">
        <v>14</v>
      </c>
      <c r="L181">
        <f t="shared" si="7"/>
        <v>42</v>
      </c>
      <c r="M181" s="1" t="s">
        <v>17</v>
      </c>
    </row>
    <row r="182" spans="1:13" x14ac:dyDescent="0.3">
      <c r="A182" s="1" t="s">
        <v>582</v>
      </c>
      <c r="B182" s="1" t="s">
        <v>583</v>
      </c>
      <c r="C182" s="1" t="s">
        <v>66</v>
      </c>
      <c r="D182" s="1" t="str">
        <f t="shared" si="8"/>
        <v>Siddharth Khanna Dale</v>
      </c>
      <c r="E182" s="1" t="str">
        <f t="shared" si="6"/>
        <v>SIDDHARTH KHANNA DALE</v>
      </c>
      <c r="F182" s="1" t="s">
        <v>584</v>
      </c>
      <c r="G182" s="1" t="s">
        <v>585</v>
      </c>
      <c r="H182" s="1" t="s">
        <v>15</v>
      </c>
      <c r="I182" s="1" t="s">
        <v>16</v>
      </c>
      <c r="J182">
        <v>27</v>
      </c>
      <c r="K182">
        <v>19</v>
      </c>
      <c r="L182">
        <f t="shared" si="7"/>
        <v>46</v>
      </c>
      <c r="M182" s="1" t="s">
        <v>17</v>
      </c>
    </row>
    <row r="183" spans="1:13" x14ac:dyDescent="0.3">
      <c r="A183" s="1" t="s">
        <v>586</v>
      </c>
      <c r="B183" s="1" t="s">
        <v>587</v>
      </c>
      <c r="C183" s="1" t="s">
        <v>128</v>
      </c>
      <c r="D183" s="1" t="str">
        <f t="shared" si="8"/>
        <v>Kavya Rao Spencer</v>
      </c>
      <c r="E183" s="1" t="str">
        <f t="shared" si="6"/>
        <v>KAVYA RAO SPENCER</v>
      </c>
      <c r="F183" s="1" t="s">
        <v>588</v>
      </c>
      <c r="G183" s="1" t="s">
        <v>589</v>
      </c>
      <c r="H183" s="1" t="s">
        <v>15</v>
      </c>
      <c r="I183" s="1" t="s">
        <v>16</v>
      </c>
      <c r="J183">
        <v>43</v>
      </c>
      <c r="K183">
        <v>20</v>
      </c>
      <c r="L183">
        <f t="shared" si="7"/>
        <v>63</v>
      </c>
      <c r="M183" s="1" t="s">
        <v>17</v>
      </c>
    </row>
    <row r="184" spans="1:13" x14ac:dyDescent="0.3">
      <c r="A184" s="1" t="s">
        <v>590</v>
      </c>
      <c r="B184" s="1" t="s">
        <v>591</v>
      </c>
      <c r="C184" s="1" t="s">
        <v>76</v>
      </c>
      <c r="D184" s="1" t="str">
        <f t="shared" si="8"/>
        <v>Riya Menon Quinn</v>
      </c>
      <c r="E184" s="1" t="str">
        <f t="shared" si="6"/>
        <v>RIYA MENON QUINN</v>
      </c>
      <c r="F184" s="1" t="s">
        <v>592</v>
      </c>
      <c r="G184" s="1" t="s">
        <v>593</v>
      </c>
      <c r="H184" s="1" t="s">
        <v>15</v>
      </c>
      <c r="I184" s="1" t="s">
        <v>16</v>
      </c>
      <c r="J184">
        <v>47</v>
      </c>
      <c r="K184">
        <v>18</v>
      </c>
      <c r="L184">
        <f t="shared" si="7"/>
        <v>65</v>
      </c>
      <c r="M184" s="1" t="s">
        <v>17</v>
      </c>
    </row>
    <row r="185" spans="1:13" x14ac:dyDescent="0.3">
      <c r="A185" s="1" t="s">
        <v>594</v>
      </c>
      <c r="B185" s="1" t="s">
        <v>595</v>
      </c>
      <c r="C185" s="1" t="s">
        <v>170</v>
      </c>
      <c r="D185" s="1" t="str">
        <f t="shared" si="8"/>
        <v>Pari Joshi Mercer</v>
      </c>
      <c r="E185" s="1" t="str">
        <f t="shared" si="6"/>
        <v>PARI JOSHI MERCER</v>
      </c>
      <c r="F185" s="1" t="s">
        <v>596</v>
      </c>
      <c r="G185" s="1" t="s">
        <v>597</v>
      </c>
      <c r="H185" s="1" t="s">
        <v>15</v>
      </c>
      <c r="I185" s="1" t="s">
        <v>16</v>
      </c>
      <c r="J185">
        <v>32</v>
      </c>
      <c r="K185">
        <v>24</v>
      </c>
      <c r="L185">
        <f t="shared" si="7"/>
        <v>56</v>
      </c>
      <c r="M185" s="1" t="s">
        <v>17</v>
      </c>
    </row>
    <row r="186" spans="1:13" x14ac:dyDescent="0.3">
      <c r="A186" s="1" t="s">
        <v>598</v>
      </c>
      <c r="B186" s="1" t="s">
        <v>599</v>
      </c>
      <c r="C186" s="1" t="s">
        <v>20</v>
      </c>
      <c r="D186" s="1" t="str">
        <f t="shared" si="8"/>
        <v>Dhruv Sharma Carter</v>
      </c>
      <c r="E186" s="1" t="str">
        <f t="shared" si="6"/>
        <v>DHRUV SHARMA CARTER</v>
      </c>
      <c r="F186" s="1" t="s">
        <v>600</v>
      </c>
      <c r="G186" s="1" t="s">
        <v>601</v>
      </c>
      <c r="H186" s="1" t="s">
        <v>15</v>
      </c>
      <c r="I186" s="1" t="s">
        <v>16</v>
      </c>
      <c r="J186">
        <v>48</v>
      </c>
      <c r="K186">
        <v>21</v>
      </c>
      <c r="L186">
        <f t="shared" si="7"/>
        <v>69</v>
      </c>
      <c r="M186" s="1" t="s">
        <v>17</v>
      </c>
    </row>
    <row r="187" spans="1:13" x14ac:dyDescent="0.3">
      <c r="A187" s="1" t="s">
        <v>602</v>
      </c>
      <c r="B187" s="1" t="s">
        <v>563</v>
      </c>
      <c r="C187" s="1" t="s">
        <v>26</v>
      </c>
      <c r="D187" s="1" t="str">
        <f t="shared" si="8"/>
        <v>Aditi Mehta Hayes</v>
      </c>
      <c r="E187" s="1" t="str">
        <f t="shared" si="6"/>
        <v>ADITI MEHTA HAYES</v>
      </c>
      <c r="F187" s="1" t="s">
        <v>603</v>
      </c>
      <c r="G187" s="1" t="s">
        <v>604</v>
      </c>
      <c r="H187" s="1" t="s">
        <v>15</v>
      </c>
      <c r="I187" s="1" t="s">
        <v>23</v>
      </c>
      <c r="J187">
        <v>73</v>
      </c>
      <c r="K187">
        <v>0</v>
      </c>
      <c r="L187">
        <f t="shared" si="7"/>
        <v>73</v>
      </c>
      <c r="M187" s="1" t="s">
        <v>17</v>
      </c>
    </row>
    <row r="188" spans="1:13" x14ac:dyDescent="0.3">
      <c r="A188" s="1" t="s">
        <v>605</v>
      </c>
      <c r="B188" s="1" t="s">
        <v>606</v>
      </c>
      <c r="C188" s="1" t="s">
        <v>66</v>
      </c>
      <c r="D188" s="1" t="str">
        <f t="shared" si="8"/>
        <v>Suhana Das Dale</v>
      </c>
      <c r="E188" s="1" t="str">
        <f t="shared" si="6"/>
        <v>SUHANA DAS DALE</v>
      </c>
      <c r="F188" s="1" t="s">
        <v>607</v>
      </c>
      <c r="G188" s="1" t="s">
        <v>608</v>
      </c>
      <c r="H188" s="1" t="s">
        <v>15</v>
      </c>
      <c r="I188" s="1" t="s">
        <v>16</v>
      </c>
      <c r="J188">
        <v>22</v>
      </c>
      <c r="K188">
        <v>24</v>
      </c>
      <c r="L188">
        <f t="shared" si="7"/>
        <v>46</v>
      </c>
      <c r="M188" s="1" t="s">
        <v>17</v>
      </c>
    </row>
    <row r="189" spans="1:13" x14ac:dyDescent="0.3">
      <c r="A189" s="1" t="s">
        <v>609</v>
      </c>
      <c r="B189" s="1" t="s">
        <v>610</v>
      </c>
      <c r="C189" s="1" t="s">
        <v>128</v>
      </c>
      <c r="D189" s="1" t="str">
        <f t="shared" si="8"/>
        <v>Tanvi Seth Spencer</v>
      </c>
      <c r="E189" s="1" t="str">
        <f t="shared" si="6"/>
        <v>TANVI SETH SPENCER</v>
      </c>
      <c r="F189" s="1" t="s">
        <v>611</v>
      </c>
      <c r="G189" s="1" t="s">
        <v>612</v>
      </c>
      <c r="H189" s="1" t="s">
        <v>15</v>
      </c>
      <c r="I189" s="1" t="s">
        <v>16</v>
      </c>
      <c r="J189">
        <v>35</v>
      </c>
      <c r="K189">
        <v>0</v>
      </c>
      <c r="L189">
        <f t="shared" si="7"/>
        <v>35</v>
      </c>
      <c r="M189" s="1" t="s">
        <v>17</v>
      </c>
    </row>
    <row r="190" spans="1:13" x14ac:dyDescent="0.3">
      <c r="A190" s="1" t="s">
        <v>613</v>
      </c>
      <c r="B190" s="1" t="s">
        <v>614</v>
      </c>
      <c r="C190" s="1" t="s">
        <v>76</v>
      </c>
      <c r="D190" s="1" t="str">
        <f t="shared" si="8"/>
        <v>Prisha Guha Quinn</v>
      </c>
      <c r="E190" s="1" t="str">
        <f t="shared" si="6"/>
        <v>PRISHA GUHA QUINN</v>
      </c>
      <c r="F190" s="1" t="s">
        <v>615</v>
      </c>
      <c r="G190" s="1" t="s">
        <v>616</v>
      </c>
      <c r="H190" s="1" t="s">
        <v>15</v>
      </c>
      <c r="I190" s="1" t="s">
        <v>16</v>
      </c>
      <c r="J190">
        <v>35</v>
      </c>
      <c r="K190">
        <v>22</v>
      </c>
      <c r="L190">
        <f t="shared" si="7"/>
        <v>57</v>
      </c>
      <c r="M190" s="1" t="s">
        <v>17</v>
      </c>
    </row>
    <row r="191" spans="1:13" x14ac:dyDescent="0.3">
      <c r="A191" s="1" t="s">
        <v>617</v>
      </c>
      <c r="B191" s="1" t="s">
        <v>618</v>
      </c>
      <c r="C191" s="1" t="s">
        <v>170</v>
      </c>
      <c r="D191" s="1" t="str">
        <f t="shared" si="8"/>
        <v>Varun Pillai Mercer</v>
      </c>
      <c r="E191" s="1" t="str">
        <f t="shared" si="6"/>
        <v>VARUN PILLAI MERCER</v>
      </c>
      <c r="F191" s="1" t="s">
        <v>619</v>
      </c>
      <c r="G191" s="1" t="s">
        <v>620</v>
      </c>
      <c r="H191" s="1" t="s">
        <v>15</v>
      </c>
      <c r="I191" s="1" t="s">
        <v>16</v>
      </c>
      <c r="J191">
        <v>56</v>
      </c>
      <c r="K191">
        <v>15</v>
      </c>
      <c r="L191">
        <f t="shared" si="7"/>
        <v>71</v>
      </c>
      <c r="M191" s="1" t="s">
        <v>17</v>
      </c>
    </row>
    <row r="192" spans="1:13" x14ac:dyDescent="0.3">
      <c r="A192" s="1" t="s">
        <v>621</v>
      </c>
      <c r="B192" s="1" t="s">
        <v>622</v>
      </c>
      <c r="C192" s="1" t="s">
        <v>20</v>
      </c>
      <c r="D192" s="1" t="str">
        <f t="shared" si="8"/>
        <v>Ashwin Kannan Carter</v>
      </c>
      <c r="E192" s="1" t="str">
        <f t="shared" si="6"/>
        <v>ASHWIN KANNAN CARTER</v>
      </c>
      <c r="F192" s="1" t="s">
        <v>623</v>
      </c>
      <c r="G192" s="1" t="s">
        <v>624</v>
      </c>
      <c r="H192" s="1" t="s">
        <v>15</v>
      </c>
      <c r="I192" s="1" t="s">
        <v>23</v>
      </c>
      <c r="J192">
        <v>59</v>
      </c>
      <c r="K192">
        <v>0</v>
      </c>
      <c r="L192">
        <f t="shared" si="7"/>
        <v>59</v>
      </c>
      <c r="M192" s="1" t="s">
        <v>17</v>
      </c>
    </row>
    <row r="193" spans="1:13" x14ac:dyDescent="0.3">
      <c r="A193" s="1" t="s">
        <v>625</v>
      </c>
      <c r="B193" s="1" t="s">
        <v>626</v>
      </c>
      <c r="C193" s="1" t="s">
        <v>26</v>
      </c>
      <c r="D193" s="1" t="str">
        <f t="shared" si="8"/>
        <v>Meera Kulkarni Hayes</v>
      </c>
      <c r="E193" s="1" t="str">
        <f t="shared" si="6"/>
        <v>MEERA KULKARNI HAYES</v>
      </c>
      <c r="F193" s="1" t="s">
        <v>627</v>
      </c>
      <c r="G193" s="1" t="s">
        <v>628</v>
      </c>
      <c r="H193" s="1" t="s">
        <v>15</v>
      </c>
      <c r="I193" s="1" t="s">
        <v>16</v>
      </c>
      <c r="J193">
        <v>28</v>
      </c>
      <c r="K193">
        <v>23</v>
      </c>
      <c r="L193">
        <f t="shared" si="7"/>
        <v>51</v>
      </c>
      <c r="M193" s="1" t="s">
        <v>17</v>
      </c>
    </row>
    <row r="194" spans="1:13" x14ac:dyDescent="0.3">
      <c r="A194" s="1" t="s">
        <v>629</v>
      </c>
      <c r="B194" s="1" t="s">
        <v>630</v>
      </c>
      <c r="C194" s="1" t="s">
        <v>66</v>
      </c>
      <c r="D194" s="1" t="str">
        <f t="shared" si="8"/>
        <v>Austin Fernandes Dale</v>
      </c>
      <c r="E194" s="1" t="str">
        <f t="shared" si="6"/>
        <v>AUSTIN FERNANDES DALE</v>
      </c>
      <c r="F194" s="1" t="s">
        <v>631</v>
      </c>
      <c r="G194" s="1" t="s">
        <v>632</v>
      </c>
      <c r="H194" s="1" t="s">
        <v>15</v>
      </c>
      <c r="I194" s="1" t="s">
        <v>16</v>
      </c>
      <c r="J194">
        <v>60</v>
      </c>
      <c r="K194">
        <v>25</v>
      </c>
      <c r="L194">
        <f t="shared" si="7"/>
        <v>85</v>
      </c>
      <c r="M194" s="1" t="s">
        <v>17</v>
      </c>
    </row>
    <row r="195" spans="1:13" x14ac:dyDescent="0.3">
      <c r="A195" s="1" t="s">
        <v>633</v>
      </c>
      <c r="B195" s="1" t="s">
        <v>630</v>
      </c>
      <c r="C195" s="1" t="s">
        <v>128</v>
      </c>
      <c r="D195" s="1" t="str">
        <f t="shared" si="8"/>
        <v>Maria Fernandes Spencer</v>
      </c>
      <c r="E195" s="1" t="str">
        <f t="shared" ref="E195:E251" si="9">UPPER(D195)</f>
        <v>MARIA FERNANDES SPENCER</v>
      </c>
      <c r="F195" s="1" t="s">
        <v>634</v>
      </c>
      <c r="G195" s="1" t="s">
        <v>635</v>
      </c>
      <c r="H195" s="1" t="s">
        <v>15</v>
      </c>
      <c r="I195" s="1" t="s">
        <v>16</v>
      </c>
      <c r="J195">
        <v>54</v>
      </c>
      <c r="K195">
        <v>20</v>
      </c>
      <c r="L195">
        <f t="shared" ref="L195:L251" si="10">SUM(J195,K195)</f>
        <v>74</v>
      </c>
      <c r="M195" s="1" t="s">
        <v>17</v>
      </c>
    </row>
    <row r="196" spans="1:13" x14ac:dyDescent="0.3">
      <c r="A196" s="1" t="s">
        <v>636</v>
      </c>
      <c r="B196" s="1" t="s">
        <v>630</v>
      </c>
      <c r="C196" s="1" t="s">
        <v>76</v>
      </c>
      <c r="D196" s="1" t="str">
        <f t="shared" ref="D196:D251" si="11">CONCATENATE(A196," ",B196," ",C196)</f>
        <v>Rahul Fernandes Quinn</v>
      </c>
      <c r="E196" s="1" t="str">
        <f t="shared" si="9"/>
        <v>RAHUL FERNANDES QUINN</v>
      </c>
      <c r="F196" s="1" t="s">
        <v>637</v>
      </c>
      <c r="G196" s="1" t="s">
        <v>638</v>
      </c>
      <c r="H196" s="1" t="s">
        <v>15</v>
      </c>
      <c r="I196" s="1" t="s">
        <v>23</v>
      </c>
      <c r="J196">
        <v>65</v>
      </c>
      <c r="K196">
        <v>0</v>
      </c>
      <c r="L196">
        <f t="shared" si="10"/>
        <v>65</v>
      </c>
      <c r="M196" s="1" t="s">
        <v>17</v>
      </c>
    </row>
    <row r="197" spans="1:13" x14ac:dyDescent="0.3">
      <c r="A197" s="1" t="s">
        <v>639</v>
      </c>
      <c r="B197" s="1" t="s">
        <v>630</v>
      </c>
      <c r="C197" s="1" t="s">
        <v>170</v>
      </c>
      <c r="D197" s="1" t="str">
        <f t="shared" si="11"/>
        <v>Sonia Fernandes Mercer</v>
      </c>
      <c r="E197" s="1" t="str">
        <f t="shared" si="9"/>
        <v>SONIA FERNANDES MERCER</v>
      </c>
      <c r="F197" s="1" t="s">
        <v>640</v>
      </c>
      <c r="G197" s="1" t="s">
        <v>641</v>
      </c>
      <c r="H197" s="1" t="s">
        <v>15</v>
      </c>
      <c r="I197" s="1" t="s">
        <v>16</v>
      </c>
      <c r="J197">
        <v>48</v>
      </c>
      <c r="K197">
        <v>19</v>
      </c>
      <c r="L197">
        <f t="shared" si="10"/>
        <v>67</v>
      </c>
      <c r="M197" s="1" t="s">
        <v>17</v>
      </c>
    </row>
    <row r="198" spans="1:13" x14ac:dyDescent="0.3">
      <c r="A198" s="1" t="s">
        <v>642</v>
      </c>
      <c r="B198" s="1" t="s">
        <v>630</v>
      </c>
      <c r="C198" s="1" t="s">
        <v>20</v>
      </c>
      <c r="D198" s="1" t="str">
        <f t="shared" si="11"/>
        <v>Ryan Fernandes Carter</v>
      </c>
      <c r="E198" s="1" t="str">
        <f t="shared" si="9"/>
        <v>RYAN FERNANDES CARTER</v>
      </c>
      <c r="F198" s="1" t="s">
        <v>643</v>
      </c>
      <c r="G198" s="1" t="s">
        <v>644</v>
      </c>
      <c r="H198" s="1" t="s">
        <v>15</v>
      </c>
      <c r="I198" s="1" t="s">
        <v>23</v>
      </c>
      <c r="J198">
        <v>54</v>
      </c>
      <c r="K198">
        <v>0</v>
      </c>
      <c r="L198">
        <f t="shared" si="10"/>
        <v>54</v>
      </c>
      <c r="M198" s="1" t="s">
        <v>17</v>
      </c>
    </row>
    <row r="199" spans="1:13" x14ac:dyDescent="0.3">
      <c r="A199" s="1" t="s">
        <v>645</v>
      </c>
      <c r="B199" s="1" t="s">
        <v>630</v>
      </c>
      <c r="C199" s="1" t="s">
        <v>26</v>
      </c>
      <c r="D199" s="1" t="str">
        <f t="shared" si="11"/>
        <v>Priyanka Fernandes Hayes</v>
      </c>
      <c r="E199" s="1" t="str">
        <f t="shared" si="9"/>
        <v>PRIYANKA FERNANDES HAYES</v>
      </c>
      <c r="F199" s="1" t="s">
        <v>646</v>
      </c>
      <c r="G199" s="1" t="s">
        <v>647</v>
      </c>
      <c r="H199" s="1" t="s">
        <v>15</v>
      </c>
      <c r="I199" s="1" t="s">
        <v>16</v>
      </c>
      <c r="J199">
        <v>63</v>
      </c>
      <c r="K199">
        <v>24</v>
      </c>
      <c r="L199">
        <f t="shared" si="10"/>
        <v>87</v>
      </c>
      <c r="M199" s="1" t="s">
        <v>17</v>
      </c>
    </row>
    <row r="200" spans="1:13" x14ac:dyDescent="0.3">
      <c r="A200" s="1" t="s">
        <v>648</v>
      </c>
      <c r="B200" s="1" t="s">
        <v>630</v>
      </c>
      <c r="C200" s="1" t="s">
        <v>66</v>
      </c>
      <c r="D200" s="1" t="str">
        <f t="shared" si="11"/>
        <v>Nisha Fernandes Dale</v>
      </c>
      <c r="E200" s="1" t="str">
        <f t="shared" si="9"/>
        <v>NISHA FERNANDES DALE</v>
      </c>
      <c r="F200" s="1" t="s">
        <v>649</v>
      </c>
      <c r="G200" s="1" t="s">
        <v>650</v>
      </c>
      <c r="H200" s="1" t="s">
        <v>15</v>
      </c>
      <c r="I200" s="1" t="s">
        <v>16</v>
      </c>
      <c r="J200">
        <v>46</v>
      </c>
      <c r="K200">
        <v>22</v>
      </c>
      <c r="L200">
        <f t="shared" si="10"/>
        <v>68</v>
      </c>
      <c r="M200" s="1" t="s">
        <v>17</v>
      </c>
    </row>
    <row r="201" spans="1:13" x14ac:dyDescent="0.3">
      <c r="A201" s="1" t="s">
        <v>651</v>
      </c>
      <c r="B201" s="1" t="s">
        <v>630</v>
      </c>
      <c r="C201" s="1" t="s">
        <v>128</v>
      </c>
      <c r="D201" s="1" t="str">
        <f t="shared" si="11"/>
        <v>Kevin Fernandes Spencer</v>
      </c>
      <c r="E201" s="1" t="str">
        <f t="shared" si="9"/>
        <v>KEVIN FERNANDES SPENCER</v>
      </c>
      <c r="F201" s="1" t="s">
        <v>652</v>
      </c>
      <c r="G201" s="1" t="s">
        <v>653</v>
      </c>
      <c r="H201" s="1" t="s">
        <v>15</v>
      </c>
      <c r="I201" s="1" t="s">
        <v>16</v>
      </c>
      <c r="J201">
        <v>59</v>
      </c>
      <c r="K201">
        <v>20</v>
      </c>
      <c r="L201">
        <f t="shared" si="10"/>
        <v>79</v>
      </c>
      <c r="M201" s="1" t="s">
        <v>17</v>
      </c>
    </row>
    <row r="202" spans="1:13" x14ac:dyDescent="0.3">
      <c r="A202" s="1" t="s">
        <v>633</v>
      </c>
      <c r="B202" s="1" t="s">
        <v>630</v>
      </c>
      <c r="C202" s="1" t="s">
        <v>76</v>
      </c>
      <c r="D202" s="1" t="str">
        <f t="shared" si="11"/>
        <v>Maria Fernandes Quinn</v>
      </c>
      <c r="E202" s="1" t="str">
        <f t="shared" si="9"/>
        <v>MARIA FERNANDES QUINN</v>
      </c>
      <c r="F202" s="1" t="s">
        <v>654</v>
      </c>
      <c r="G202" s="1" t="s">
        <v>655</v>
      </c>
      <c r="H202" s="1" t="s">
        <v>15</v>
      </c>
      <c r="I202" s="1" t="s">
        <v>16</v>
      </c>
      <c r="J202">
        <v>63</v>
      </c>
      <c r="K202">
        <v>20</v>
      </c>
      <c r="L202">
        <f t="shared" si="10"/>
        <v>83</v>
      </c>
      <c r="M202" s="1" t="s">
        <v>17</v>
      </c>
    </row>
    <row r="203" spans="1:13" x14ac:dyDescent="0.3">
      <c r="A203" s="1" t="s">
        <v>309</v>
      </c>
      <c r="B203" s="1" t="s">
        <v>11</v>
      </c>
      <c r="C203" s="1" t="s">
        <v>20</v>
      </c>
      <c r="D203" s="1" t="str">
        <f t="shared" si="11"/>
        <v>Ethan Brown Carter</v>
      </c>
      <c r="E203" s="1" t="str">
        <f t="shared" si="9"/>
        <v>ETHAN BROWN CARTER</v>
      </c>
      <c r="F203" s="1" t="s">
        <v>656</v>
      </c>
      <c r="G203" s="1" t="s">
        <v>657</v>
      </c>
      <c r="H203" s="1" t="s">
        <v>15</v>
      </c>
      <c r="I203" s="1" t="s">
        <v>16</v>
      </c>
      <c r="J203">
        <v>64</v>
      </c>
      <c r="K203">
        <v>25</v>
      </c>
      <c r="L203">
        <f t="shared" si="10"/>
        <v>89</v>
      </c>
      <c r="M203" s="1" t="s">
        <v>17</v>
      </c>
    </row>
    <row r="204" spans="1:13" x14ac:dyDescent="0.3">
      <c r="A204" s="1" t="s">
        <v>318</v>
      </c>
      <c r="B204" s="1" t="s">
        <v>19</v>
      </c>
      <c r="C204" s="1" t="s">
        <v>26</v>
      </c>
      <c r="D204" s="1" t="str">
        <f t="shared" si="11"/>
        <v>Ava Smith Hayes</v>
      </c>
      <c r="E204" s="1" t="str">
        <f t="shared" si="9"/>
        <v>AVA SMITH HAYES</v>
      </c>
      <c r="F204" s="1" t="s">
        <v>658</v>
      </c>
      <c r="G204" s="1" t="s">
        <v>659</v>
      </c>
      <c r="H204" s="1" t="s">
        <v>15</v>
      </c>
      <c r="I204" s="1" t="s">
        <v>16</v>
      </c>
      <c r="J204">
        <v>40</v>
      </c>
      <c r="K204">
        <v>21</v>
      </c>
      <c r="L204">
        <f t="shared" si="10"/>
        <v>61</v>
      </c>
      <c r="M204" s="1" t="s">
        <v>109</v>
      </c>
    </row>
    <row r="205" spans="1:13" x14ac:dyDescent="0.3">
      <c r="A205" s="1" t="s">
        <v>324</v>
      </c>
      <c r="B205" s="1" t="s">
        <v>25</v>
      </c>
      <c r="C205" s="1" t="s">
        <v>66</v>
      </c>
      <c r="D205" s="1" t="str">
        <f t="shared" si="11"/>
        <v>Jacob Wilson Dale</v>
      </c>
      <c r="E205" s="1" t="str">
        <f t="shared" si="9"/>
        <v>JACOB WILSON DALE</v>
      </c>
      <c r="F205" s="1" t="s">
        <v>660</v>
      </c>
      <c r="G205" s="1" t="s">
        <v>661</v>
      </c>
      <c r="H205" s="1" t="s">
        <v>15</v>
      </c>
      <c r="I205" s="1" t="s">
        <v>16</v>
      </c>
      <c r="J205">
        <v>39</v>
      </c>
      <c r="K205">
        <v>23</v>
      </c>
      <c r="L205">
        <f t="shared" si="10"/>
        <v>62</v>
      </c>
      <c r="M205" s="1" t="s">
        <v>17</v>
      </c>
    </row>
    <row r="206" spans="1:13" x14ac:dyDescent="0.3">
      <c r="A206" s="1" t="s">
        <v>321</v>
      </c>
      <c r="B206" s="1" t="s">
        <v>20</v>
      </c>
      <c r="C206" s="1" t="s">
        <v>128</v>
      </c>
      <c r="D206" s="1" t="str">
        <f t="shared" si="11"/>
        <v>Mia Carter Spencer</v>
      </c>
      <c r="E206" s="1" t="str">
        <f t="shared" si="9"/>
        <v>MIA CARTER SPENCER</v>
      </c>
      <c r="F206" s="1" t="s">
        <v>662</v>
      </c>
      <c r="G206" s="1" t="s">
        <v>663</v>
      </c>
      <c r="H206" s="1" t="s">
        <v>15</v>
      </c>
      <c r="I206" s="1" t="s">
        <v>16</v>
      </c>
      <c r="J206">
        <v>55</v>
      </c>
      <c r="K206">
        <v>24</v>
      </c>
      <c r="L206">
        <f t="shared" si="10"/>
        <v>79</v>
      </c>
      <c r="M206" s="1" t="s">
        <v>17</v>
      </c>
    </row>
    <row r="207" spans="1:13" x14ac:dyDescent="0.3">
      <c r="A207" s="1" t="s">
        <v>327</v>
      </c>
      <c r="B207" s="1" t="s">
        <v>41</v>
      </c>
      <c r="C207" s="1" t="s">
        <v>76</v>
      </c>
      <c r="D207" s="1" t="str">
        <f t="shared" si="11"/>
        <v>Lucas Morton Quinn</v>
      </c>
      <c r="E207" s="1" t="str">
        <f t="shared" si="9"/>
        <v>LUCAS MORTON QUINN</v>
      </c>
      <c r="F207" s="1" t="s">
        <v>664</v>
      </c>
      <c r="G207" s="1" t="s">
        <v>665</v>
      </c>
      <c r="H207" s="1" t="s">
        <v>15</v>
      </c>
      <c r="I207" s="1" t="s">
        <v>16</v>
      </c>
      <c r="J207">
        <v>32</v>
      </c>
      <c r="K207">
        <v>25</v>
      </c>
      <c r="L207">
        <f t="shared" si="10"/>
        <v>57</v>
      </c>
      <c r="M207" s="1" t="s">
        <v>17</v>
      </c>
    </row>
    <row r="208" spans="1:13" x14ac:dyDescent="0.3">
      <c r="A208" s="1" t="s">
        <v>330</v>
      </c>
      <c r="B208" s="1" t="s">
        <v>31</v>
      </c>
      <c r="C208" s="1" t="s">
        <v>170</v>
      </c>
      <c r="D208" s="1" t="str">
        <f t="shared" si="11"/>
        <v>Freya Bennett Mercer</v>
      </c>
      <c r="E208" s="1" t="str">
        <f t="shared" si="9"/>
        <v>FREYA BENNETT MERCER</v>
      </c>
      <c r="F208" s="1" t="s">
        <v>666</v>
      </c>
      <c r="G208" s="1" t="s">
        <v>665</v>
      </c>
      <c r="H208" s="1" t="s">
        <v>15</v>
      </c>
      <c r="I208" s="1" t="s">
        <v>16</v>
      </c>
      <c r="J208">
        <v>51</v>
      </c>
      <c r="K208">
        <v>24</v>
      </c>
      <c r="L208">
        <f t="shared" si="10"/>
        <v>75</v>
      </c>
      <c r="M208" s="1" t="s">
        <v>17</v>
      </c>
    </row>
    <row r="209" spans="1:13" x14ac:dyDescent="0.3">
      <c r="A209" s="1"/>
      <c r="B209" s="1"/>
      <c r="C209" s="1"/>
      <c r="D209" s="1" t="str">
        <f t="shared" si="11"/>
        <v xml:space="preserve">  </v>
      </c>
      <c r="E209" s="1" t="str">
        <f t="shared" si="9"/>
        <v xml:space="preserve">  </v>
      </c>
      <c r="F209" s="1"/>
      <c r="G209" s="1"/>
      <c r="H209" s="1"/>
      <c r="I209" s="1"/>
      <c r="L209">
        <f t="shared" si="10"/>
        <v>0</v>
      </c>
      <c r="M209" s="1"/>
    </row>
    <row r="210" spans="1:13" x14ac:dyDescent="0.3">
      <c r="A210" s="1"/>
      <c r="B210" s="1"/>
      <c r="C210" s="1"/>
      <c r="D210" s="1" t="str">
        <f t="shared" si="11"/>
        <v xml:space="preserve">  </v>
      </c>
      <c r="E210" s="1" t="str">
        <f t="shared" si="9"/>
        <v xml:space="preserve">  </v>
      </c>
      <c r="F210" s="1"/>
      <c r="G210" s="1"/>
      <c r="H210" s="1"/>
      <c r="I210" s="1"/>
      <c r="L210">
        <f t="shared" si="10"/>
        <v>0</v>
      </c>
      <c r="M210" s="1"/>
    </row>
    <row r="211" spans="1:13" x14ac:dyDescent="0.3">
      <c r="A211" s="1"/>
      <c r="B211" s="1"/>
      <c r="C211" s="1"/>
      <c r="D211" s="1" t="str">
        <f t="shared" si="11"/>
        <v xml:space="preserve">  </v>
      </c>
      <c r="E211" s="1" t="str">
        <f t="shared" si="9"/>
        <v xml:space="preserve">  </v>
      </c>
      <c r="F211" s="1"/>
      <c r="G211" s="1"/>
      <c r="H211" s="1"/>
      <c r="I211" s="1"/>
      <c r="L211">
        <f t="shared" si="10"/>
        <v>0</v>
      </c>
      <c r="M211" s="1"/>
    </row>
    <row r="212" spans="1:13" x14ac:dyDescent="0.3">
      <c r="A212" s="1"/>
      <c r="B212" s="1"/>
      <c r="C212" s="1"/>
      <c r="D212" s="1" t="str">
        <f t="shared" si="11"/>
        <v xml:space="preserve">  </v>
      </c>
      <c r="E212" s="1" t="str">
        <f t="shared" si="9"/>
        <v xml:space="preserve">  </v>
      </c>
      <c r="F212" s="1"/>
      <c r="G212" s="1"/>
      <c r="H212" s="1"/>
      <c r="I212" s="1"/>
      <c r="L212">
        <f t="shared" si="10"/>
        <v>0</v>
      </c>
      <c r="M212" s="1"/>
    </row>
    <row r="213" spans="1:13" x14ac:dyDescent="0.3">
      <c r="A213" s="1"/>
      <c r="B213" s="1"/>
      <c r="C213" s="1"/>
      <c r="D213" s="1" t="str">
        <f t="shared" si="11"/>
        <v xml:space="preserve">  </v>
      </c>
      <c r="E213" s="1" t="str">
        <f t="shared" si="9"/>
        <v xml:space="preserve">  </v>
      </c>
      <c r="F213" s="1"/>
      <c r="G213" s="1"/>
      <c r="H213" s="1"/>
      <c r="I213" s="1"/>
      <c r="L213">
        <f t="shared" si="10"/>
        <v>0</v>
      </c>
      <c r="M213" s="1"/>
    </row>
    <row r="214" spans="1:13" x14ac:dyDescent="0.3">
      <c r="A214" s="1"/>
      <c r="B214" s="1"/>
      <c r="C214" s="1"/>
      <c r="D214" s="1" t="str">
        <f t="shared" si="11"/>
        <v xml:space="preserve">  </v>
      </c>
      <c r="E214" s="1" t="str">
        <f t="shared" si="9"/>
        <v xml:space="preserve">  </v>
      </c>
      <c r="F214" s="1"/>
      <c r="G214" s="1"/>
      <c r="H214" s="1"/>
      <c r="I214" s="1"/>
      <c r="L214">
        <f t="shared" si="10"/>
        <v>0</v>
      </c>
      <c r="M214" s="1"/>
    </row>
    <row r="215" spans="1:13" x14ac:dyDescent="0.3">
      <c r="A215" s="1"/>
      <c r="B215" s="1"/>
      <c r="C215" s="1"/>
      <c r="D215" s="1" t="str">
        <f t="shared" si="11"/>
        <v xml:space="preserve">  </v>
      </c>
      <c r="E215" s="1" t="str">
        <f t="shared" si="9"/>
        <v xml:space="preserve">  </v>
      </c>
      <c r="F215" s="1"/>
      <c r="G215" s="1"/>
      <c r="H215" s="1"/>
      <c r="I215" s="1"/>
      <c r="L215">
        <f t="shared" si="10"/>
        <v>0</v>
      </c>
      <c r="M215" s="1"/>
    </row>
    <row r="216" spans="1:13" x14ac:dyDescent="0.3">
      <c r="A216" s="1"/>
      <c r="B216" s="1"/>
      <c r="C216" s="1"/>
      <c r="D216" s="1" t="str">
        <f t="shared" si="11"/>
        <v xml:space="preserve">  </v>
      </c>
      <c r="E216" s="1" t="str">
        <f t="shared" si="9"/>
        <v xml:space="preserve">  </v>
      </c>
      <c r="F216" s="1"/>
      <c r="G216" s="1"/>
      <c r="H216" s="1"/>
      <c r="I216" s="1"/>
      <c r="L216">
        <f t="shared" si="10"/>
        <v>0</v>
      </c>
      <c r="M216" s="1"/>
    </row>
    <row r="217" spans="1:13" x14ac:dyDescent="0.3">
      <c r="A217" s="1"/>
      <c r="B217" s="1"/>
      <c r="C217" s="1"/>
      <c r="D217" s="1" t="str">
        <f t="shared" si="11"/>
        <v xml:space="preserve">  </v>
      </c>
      <c r="E217" s="1" t="str">
        <f t="shared" si="9"/>
        <v xml:space="preserve">  </v>
      </c>
      <c r="F217" s="1"/>
      <c r="G217" s="1"/>
      <c r="H217" s="1"/>
      <c r="I217" s="1"/>
      <c r="L217">
        <f t="shared" si="10"/>
        <v>0</v>
      </c>
      <c r="M217" s="1"/>
    </row>
    <row r="218" spans="1:13" x14ac:dyDescent="0.3">
      <c r="A218" s="1"/>
      <c r="B218" s="1"/>
      <c r="C218" s="1"/>
      <c r="D218" s="1" t="str">
        <f t="shared" si="11"/>
        <v xml:space="preserve">  </v>
      </c>
      <c r="E218" s="1" t="str">
        <f t="shared" si="9"/>
        <v xml:space="preserve">  </v>
      </c>
      <c r="F218" s="1"/>
      <c r="G218" s="1"/>
      <c r="H218" s="1"/>
      <c r="I218" s="1"/>
      <c r="L218">
        <f t="shared" si="10"/>
        <v>0</v>
      </c>
      <c r="M218" s="1"/>
    </row>
    <row r="219" spans="1:13" x14ac:dyDescent="0.3">
      <c r="A219" s="1"/>
      <c r="B219" s="1"/>
      <c r="C219" s="1"/>
      <c r="D219" s="1" t="str">
        <f t="shared" si="11"/>
        <v xml:space="preserve">  </v>
      </c>
      <c r="E219" s="1" t="str">
        <f t="shared" si="9"/>
        <v xml:space="preserve">  </v>
      </c>
      <c r="F219" s="1"/>
      <c r="G219" s="1"/>
      <c r="H219" s="1"/>
      <c r="I219" s="1"/>
      <c r="L219">
        <f t="shared" si="10"/>
        <v>0</v>
      </c>
      <c r="M219" s="1"/>
    </row>
    <row r="220" spans="1:13" x14ac:dyDescent="0.3">
      <c r="A220" s="1"/>
      <c r="B220" s="1"/>
      <c r="C220" s="1"/>
      <c r="D220" s="1" t="str">
        <f t="shared" si="11"/>
        <v xml:space="preserve">  </v>
      </c>
      <c r="E220" s="1" t="str">
        <f t="shared" si="9"/>
        <v xml:space="preserve">  </v>
      </c>
      <c r="F220" s="1"/>
      <c r="G220" s="1"/>
      <c r="H220" s="1"/>
      <c r="I220" s="1"/>
      <c r="L220">
        <f t="shared" si="10"/>
        <v>0</v>
      </c>
      <c r="M220" s="1"/>
    </row>
    <row r="221" spans="1:13" x14ac:dyDescent="0.3">
      <c r="A221" s="1"/>
      <c r="B221" s="1"/>
      <c r="C221" s="1"/>
      <c r="D221" s="1" t="str">
        <f t="shared" si="11"/>
        <v xml:space="preserve">  </v>
      </c>
      <c r="E221" s="1" t="str">
        <f t="shared" si="9"/>
        <v xml:space="preserve">  </v>
      </c>
      <c r="F221" s="1"/>
      <c r="G221" s="1"/>
      <c r="H221" s="1"/>
      <c r="I221" s="1"/>
      <c r="L221">
        <f t="shared" si="10"/>
        <v>0</v>
      </c>
      <c r="M221" s="1"/>
    </row>
    <row r="222" spans="1:13" x14ac:dyDescent="0.3">
      <c r="A222" s="1"/>
      <c r="B222" s="1"/>
      <c r="C222" s="1"/>
      <c r="D222" s="1" t="str">
        <f t="shared" si="11"/>
        <v xml:space="preserve">  </v>
      </c>
      <c r="E222" s="1" t="str">
        <f t="shared" si="9"/>
        <v xml:space="preserve">  </v>
      </c>
      <c r="F222" s="1"/>
      <c r="G222" s="1"/>
      <c r="H222" s="1"/>
      <c r="I222" s="1"/>
      <c r="L222">
        <f t="shared" si="10"/>
        <v>0</v>
      </c>
      <c r="M222" s="1"/>
    </row>
    <row r="223" spans="1:13" x14ac:dyDescent="0.3">
      <c r="A223" s="1"/>
      <c r="B223" s="1"/>
      <c r="C223" s="1"/>
      <c r="D223" s="1" t="str">
        <f t="shared" si="11"/>
        <v xml:space="preserve">  </v>
      </c>
      <c r="E223" s="1" t="str">
        <f t="shared" si="9"/>
        <v xml:space="preserve">  </v>
      </c>
      <c r="F223" s="1"/>
      <c r="G223" s="1"/>
      <c r="H223" s="1"/>
      <c r="I223" s="1"/>
      <c r="L223">
        <f t="shared" si="10"/>
        <v>0</v>
      </c>
      <c r="M223" s="1"/>
    </row>
    <row r="224" spans="1:13" x14ac:dyDescent="0.3">
      <c r="A224" s="1"/>
      <c r="B224" s="1"/>
      <c r="C224" s="1"/>
      <c r="D224" s="1" t="str">
        <f t="shared" si="11"/>
        <v xml:space="preserve">  </v>
      </c>
      <c r="E224" s="1" t="str">
        <f t="shared" si="9"/>
        <v xml:space="preserve">  </v>
      </c>
      <c r="F224" s="1"/>
      <c r="G224" s="1"/>
      <c r="H224" s="1"/>
      <c r="I224" s="1"/>
      <c r="L224">
        <f t="shared" si="10"/>
        <v>0</v>
      </c>
      <c r="M224" s="1"/>
    </row>
    <row r="225" spans="1:13" x14ac:dyDescent="0.3">
      <c r="A225" s="1"/>
      <c r="B225" s="1"/>
      <c r="C225" s="1"/>
      <c r="D225" s="1" t="str">
        <f t="shared" si="11"/>
        <v xml:space="preserve">  </v>
      </c>
      <c r="E225" s="1" t="str">
        <f t="shared" si="9"/>
        <v xml:space="preserve">  </v>
      </c>
      <c r="F225" s="1"/>
      <c r="G225" s="1"/>
      <c r="H225" s="1"/>
      <c r="I225" s="1"/>
      <c r="L225">
        <f t="shared" si="10"/>
        <v>0</v>
      </c>
      <c r="M225" s="1"/>
    </row>
    <row r="226" spans="1:13" x14ac:dyDescent="0.3">
      <c r="A226" s="1"/>
      <c r="B226" s="1"/>
      <c r="C226" s="1"/>
      <c r="D226" s="1" t="str">
        <f t="shared" si="11"/>
        <v xml:space="preserve">  </v>
      </c>
      <c r="E226" s="1" t="str">
        <f t="shared" si="9"/>
        <v xml:space="preserve">  </v>
      </c>
      <c r="F226" s="1"/>
      <c r="G226" s="1"/>
      <c r="H226" s="1"/>
      <c r="I226" s="1"/>
      <c r="L226">
        <f t="shared" si="10"/>
        <v>0</v>
      </c>
      <c r="M226" s="1"/>
    </row>
    <row r="227" spans="1:13" x14ac:dyDescent="0.3">
      <c r="A227" s="1"/>
      <c r="B227" s="1"/>
      <c r="C227" s="1"/>
      <c r="D227" s="1" t="str">
        <f t="shared" si="11"/>
        <v xml:space="preserve">  </v>
      </c>
      <c r="E227" s="1" t="str">
        <f t="shared" si="9"/>
        <v xml:space="preserve">  </v>
      </c>
      <c r="F227" s="1"/>
      <c r="G227" s="1"/>
      <c r="H227" s="1"/>
      <c r="I227" s="1"/>
      <c r="L227">
        <f t="shared" si="10"/>
        <v>0</v>
      </c>
      <c r="M227" s="1"/>
    </row>
    <row r="228" spans="1:13" x14ac:dyDescent="0.3">
      <c r="A228" s="1"/>
      <c r="B228" s="1"/>
      <c r="C228" s="1"/>
      <c r="D228" s="1" t="str">
        <f t="shared" si="11"/>
        <v xml:space="preserve">  </v>
      </c>
      <c r="E228" s="1" t="str">
        <f t="shared" si="9"/>
        <v xml:space="preserve">  </v>
      </c>
      <c r="F228" s="1"/>
      <c r="G228" s="1"/>
      <c r="H228" s="1"/>
      <c r="I228" s="1"/>
      <c r="L228">
        <f t="shared" si="10"/>
        <v>0</v>
      </c>
      <c r="M228" s="1"/>
    </row>
    <row r="229" spans="1:13" x14ac:dyDescent="0.3">
      <c r="A229" s="1"/>
      <c r="B229" s="1"/>
      <c r="C229" s="1"/>
      <c r="D229" s="1" t="str">
        <f t="shared" si="11"/>
        <v xml:space="preserve">  </v>
      </c>
      <c r="E229" s="1" t="str">
        <f t="shared" si="9"/>
        <v xml:space="preserve">  </v>
      </c>
      <c r="F229" s="1"/>
      <c r="G229" s="1"/>
      <c r="H229" s="1"/>
      <c r="I229" s="1"/>
      <c r="L229">
        <f t="shared" si="10"/>
        <v>0</v>
      </c>
      <c r="M229" s="1"/>
    </row>
    <row r="230" spans="1:13" x14ac:dyDescent="0.3">
      <c r="A230" s="1"/>
      <c r="B230" s="1"/>
      <c r="C230" s="1"/>
      <c r="D230" s="1" t="str">
        <f t="shared" si="11"/>
        <v xml:space="preserve">  </v>
      </c>
      <c r="E230" s="1" t="str">
        <f t="shared" si="9"/>
        <v xml:space="preserve">  </v>
      </c>
      <c r="F230" s="1"/>
      <c r="G230" s="1"/>
      <c r="H230" s="1"/>
      <c r="I230" s="1"/>
      <c r="L230">
        <f t="shared" si="10"/>
        <v>0</v>
      </c>
      <c r="M230" s="1"/>
    </row>
    <row r="231" spans="1:13" x14ac:dyDescent="0.3">
      <c r="A231" s="1"/>
      <c r="B231" s="1"/>
      <c r="C231" s="1"/>
      <c r="D231" s="1" t="str">
        <f t="shared" si="11"/>
        <v xml:space="preserve">  </v>
      </c>
      <c r="E231" s="1" t="str">
        <f t="shared" si="9"/>
        <v xml:space="preserve">  </v>
      </c>
      <c r="F231" s="1"/>
      <c r="G231" s="1"/>
      <c r="H231" s="1"/>
      <c r="I231" s="1"/>
      <c r="L231">
        <f t="shared" si="10"/>
        <v>0</v>
      </c>
      <c r="M231" s="1"/>
    </row>
    <row r="232" spans="1:13" x14ac:dyDescent="0.3">
      <c r="A232" s="1"/>
      <c r="B232" s="1"/>
      <c r="C232" s="1"/>
      <c r="D232" s="1" t="str">
        <f t="shared" si="11"/>
        <v xml:space="preserve">  </v>
      </c>
      <c r="E232" s="1" t="str">
        <f t="shared" si="9"/>
        <v xml:space="preserve">  </v>
      </c>
      <c r="F232" s="1"/>
      <c r="G232" s="1"/>
      <c r="H232" s="1"/>
      <c r="I232" s="1"/>
      <c r="L232">
        <f t="shared" si="10"/>
        <v>0</v>
      </c>
      <c r="M232" s="1"/>
    </row>
    <row r="233" spans="1:13" x14ac:dyDescent="0.3">
      <c r="A233" s="1"/>
      <c r="B233" s="1"/>
      <c r="C233" s="1"/>
      <c r="D233" s="1" t="str">
        <f t="shared" si="11"/>
        <v xml:space="preserve">  </v>
      </c>
      <c r="E233" s="1" t="str">
        <f t="shared" si="9"/>
        <v xml:space="preserve">  </v>
      </c>
      <c r="F233" s="1"/>
      <c r="G233" s="1"/>
      <c r="H233" s="1"/>
      <c r="I233" s="1"/>
      <c r="L233">
        <f t="shared" si="10"/>
        <v>0</v>
      </c>
      <c r="M233" s="1"/>
    </row>
    <row r="234" spans="1:13" x14ac:dyDescent="0.3">
      <c r="A234" s="1"/>
      <c r="B234" s="1"/>
      <c r="C234" s="1"/>
      <c r="D234" s="1" t="str">
        <f t="shared" si="11"/>
        <v xml:space="preserve">  </v>
      </c>
      <c r="E234" s="1" t="str">
        <f t="shared" si="9"/>
        <v xml:space="preserve">  </v>
      </c>
      <c r="F234" s="1"/>
      <c r="G234" s="1"/>
      <c r="H234" s="1"/>
      <c r="I234" s="1"/>
      <c r="L234">
        <f t="shared" si="10"/>
        <v>0</v>
      </c>
      <c r="M234" s="1"/>
    </row>
    <row r="235" spans="1:13" x14ac:dyDescent="0.3">
      <c r="A235" s="1"/>
      <c r="B235" s="1"/>
      <c r="C235" s="1"/>
      <c r="D235" s="1" t="str">
        <f t="shared" si="11"/>
        <v xml:space="preserve">  </v>
      </c>
      <c r="E235" s="1" t="str">
        <f t="shared" si="9"/>
        <v xml:space="preserve">  </v>
      </c>
      <c r="F235" s="1"/>
      <c r="G235" s="1"/>
      <c r="H235" s="1"/>
      <c r="I235" s="1"/>
      <c r="L235">
        <f t="shared" si="10"/>
        <v>0</v>
      </c>
      <c r="M235" s="1"/>
    </row>
    <row r="236" spans="1:13" x14ac:dyDescent="0.3">
      <c r="A236" s="1"/>
      <c r="B236" s="1"/>
      <c r="C236" s="1"/>
      <c r="D236" s="1" t="str">
        <f t="shared" si="11"/>
        <v xml:space="preserve">  </v>
      </c>
      <c r="E236" s="1" t="str">
        <f t="shared" si="9"/>
        <v xml:space="preserve">  </v>
      </c>
      <c r="F236" s="1"/>
      <c r="G236" s="1"/>
      <c r="H236" s="1"/>
      <c r="I236" s="1"/>
      <c r="L236">
        <f t="shared" si="10"/>
        <v>0</v>
      </c>
      <c r="M236" s="1"/>
    </row>
    <row r="237" spans="1:13" x14ac:dyDescent="0.3">
      <c r="A237" s="1"/>
      <c r="B237" s="1"/>
      <c r="C237" s="1"/>
      <c r="D237" s="1" t="str">
        <f t="shared" si="11"/>
        <v xml:space="preserve">  </v>
      </c>
      <c r="E237" s="1" t="str">
        <f t="shared" si="9"/>
        <v xml:space="preserve">  </v>
      </c>
      <c r="F237" s="1"/>
      <c r="G237" s="1"/>
      <c r="H237" s="1"/>
      <c r="I237" s="1"/>
      <c r="L237">
        <f t="shared" si="10"/>
        <v>0</v>
      </c>
      <c r="M237" s="1"/>
    </row>
    <row r="238" spans="1:13" x14ac:dyDescent="0.3">
      <c r="A238" s="1"/>
      <c r="B238" s="1"/>
      <c r="C238" s="1"/>
      <c r="D238" s="1" t="str">
        <f t="shared" si="11"/>
        <v xml:space="preserve">  </v>
      </c>
      <c r="E238" s="1" t="str">
        <f t="shared" si="9"/>
        <v xml:space="preserve">  </v>
      </c>
      <c r="F238" s="1"/>
      <c r="G238" s="1"/>
      <c r="H238" s="1"/>
      <c r="I238" s="1"/>
      <c r="L238">
        <f t="shared" si="10"/>
        <v>0</v>
      </c>
      <c r="M238" s="1"/>
    </row>
    <row r="239" spans="1:13" x14ac:dyDescent="0.3">
      <c r="A239" s="1"/>
      <c r="B239" s="1"/>
      <c r="C239" s="1"/>
      <c r="D239" s="1" t="str">
        <f t="shared" si="11"/>
        <v xml:space="preserve">  </v>
      </c>
      <c r="E239" s="1" t="str">
        <f t="shared" si="9"/>
        <v xml:space="preserve">  </v>
      </c>
      <c r="F239" s="1"/>
      <c r="G239" s="1"/>
      <c r="H239" s="1"/>
      <c r="I239" s="1"/>
      <c r="L239">
        <f t="shared" si="10"/>
        <v>0</v>
      </c>
      <c r="M239" s="1"/>
    </row>
    <row r="240" spans="1:13" x14ac:dyDescent="0.3">
      <c r="A240" s="1"/>
      <c r="B240" s="1"/>
      <c r="C240" s="1"/>
      <c r="D240" s="1" t="str">
        <f t="shared" si="11"/>
        <v xml:space="preserve">  </v>
      </c>
      <c r="E240" s="1" t="str">
        <f t="shared" si="9"/>
        <v xml:space="preserve">  </v>
      </c>
      <c r="F240" s="1"/>
      <c r="G240" s="1"/>
      <c r="H240" s="1"/>
      <c r="I240" s="1"/>
      <c r="L240">
        <f t="shared" si="10"/>
        <v>0</v>
      </c>
      <c r="M240" s="1"/>
    </row>
    <row r="241" spans="1:13" x14ac:dyDescent="0.3">
      <c r="A241" s="1"/>
      <c r="B241" s="1"/>
      <c r="C241" s="1"/>
      <c r="D241" s="1" t="str">
        <f t="shared" si="11"/>
        <v xml:space="preserve">  </v>
      </c>
      <c r="E241" s="1" t="str">
        <f t="shared" si="9"/>
        <v xml:space="preserve">  </v>
      </c>
      <c r="F241" s="1"/>
      <c r="G241" s="1"/>
      <c r="H241" s="1"/>
      <c r="I241" s="1"/>
      <c r="L241">
        <f t="shared" si="10"/>
        <v>0</v>
      </c>
      <c r="M241" s="1"/>
    </row>
    <row r="242" spans="1:13" x14ac:dyDescent="0.3">
      <c r="A242" s="1"/>
      <c r="B242" s="1"/>
      <c r="C242" s="1"/>
      <c r="D242" s="1" t="str">
        <f t="shared" si="11"/>
        <v xml:space="preserve">  </v>
      </c>
      <c r="E242" s="1" t="str">
        <f t="shared" si="9"/>
        <v xml:space="preserve">  </v>
      </c>
      <c r="F242" s="1"/>
      <c r="G242" s="1"/>
      <c r="H242" s="1"/>
      <c r="I242" s="1"/>
      <c r="L242">
        <f t="shared" si="10"/>
        <v>0</v>
      </c>
      <c r="M242" s="1"/>
    </row>
    <row r="243" spans="1:13" x14ac:dyDescent="0.3">
      <c r="A243" s="1"/>
      <c r="B243" s="1"/>
      <c r="C243" s="1"/>
      <c r="D243" s="1" t="str">
        <f t="shared" si="11"/>
        <v xml:space="preserve">  </v>
      </c>
      <c r="E243" s="1" t="str">
        <f t="shared" si="9"/>
        <v xml:space="preserve">  </v>
      </c>
      <c r="F243" s="1"/>
      <c r="G243" s="1"/>
      <c r="H243" s="1"/>
      <c r="I243" s="1"/>
      <c r="L243">
        <f t="shared" si="10"/>
        <v>0</v>
      </c>
      <c r="M243" s="1"/>
    </row>
    <row r="244" spans="1:13" x14ac:dyDescent="0.3">
      <c r="A244" s="1"/>
      <c r="B244" s="1"/>
      <c r="C244" s="1"/>
      <c r="D244" s="1" t="str">
        <f t="shared" si="11"/>
        <v xml:space="preserve">  </v>
      </c>
      <c r="E244" s="1" t="str">
        <f t="shared" si="9"/>
        <v xml:space="preserve">  </v>
      </c>
      <c r="F244" s="1"/>
      <c r="G244" s="1"/>
      <c r="H244" s="1"/>
      <c r="I244" s="1"/>
      <c r="L244">
        <f t="shared" si="10"/>
        <v>0</v>
      </c>
      <c r="M244" s="1"/>
    </row>
    <row r="245" spans="1:13" x14ac:dyDescent="0.3">
      <c r="A245" s="1"/>
      <c r="B245" s="1"/>
      <c r="C245" s="1"/>
      <c r="D245" s="1" t="str">
        <f t="shared" si="11"/>
        <v xml:space="preserve">  </v>
      </c>
      <c r="E245" s="1" t="str">
        <f t="shared" si="9"/>
        <v xml:space="preserve">  </v>
      </c>
      <c r="F245" s="1"/>
      <c r="G245" s="1"/>
      <c r="H245" s="1"/>
      <c r="I245" s="1"/>
      <c r="L245">
        <f t="shared" si="10"/>
        <v>0</v>
      </c>
      <c r="M245" s="1"/>
    </row>
    <row r="246" spans="1:13" x14ac:dyDescent="0.3">
      <c r="A246" s="1"/>
      <c r="B246" s="1"/>
      <c r="C246" s="1"/>
      <c r="D246" s="1" t="str">
        <f t="shared" si="11"/>
        <v xml:space="preserve">  </v>
      </c>
      <c r="E246" s="1" t="str">
        <f t="shared" si="9"/>
        <v xml:space="preserve">  </v>
      </c>
      <c r="F246" s="1"/>
      <c r="G246" s="1"/>
      <c r="H246" s="1"/>
      <c r="I246" s="1"/>
      <c r="L246">
        <f t="shared" si="10"/>
        <v>0</v>
      </c>
      <c r="M246" s="1"/>
    </row>
    <row r="247" spans="1:13" x14ac:dyDescent="0.3">
      <c r="A247" s="1"/>
      <c r="B247" s="1"/>
      <c r="C247" s="1"/>
      <c r="D247" s="1" t="str">
        <f t="shared" si="11"/>
        <v xml:space="preserve">  </v>
      </c>
      <c r="E247" s="1" t="str">
        <f t="shared" si="9"/>
        <v xml:space="preserve">  </v>
      </c>
      <c r="F247" s="1"/>
      <c r="G247" s="1"/>
      <c r="H247" s="1"/>
      <c r="I247" s="1"/>
      <c r="L247">
        <f t="shared" si="10"/>
        <v>0</v>
      </c>
      <c r="M247" s="1"/>
    </row>
    <row r="248" spans="1:13" x14ac:dyDescent="0.3">
      <c r="A248" s="1"/>
      <c r="B248" s="1"/>
      <c r="C248" s="1"/>
      <c r="D248" s="1" t="str">
        <f t="shared" si="11"/>
        <v xml:space="preserve">  </v>
      </c>
      <c r="E248" s="1" t="str">
        <f t="shared" si="9"/>
        <v xml:space="preserve">  </v>
      </c>
      <c r="F248" s="1"/>
      <c r="G248" s="1"/>
      <c r="H248" s="1"/>
      <c r="I248" s="1"/>
      <c r="L248">
        <f t="shared" si="10"/>
        <v>0</v>
      </c>
      <c r="M248" s="1"/>
    </row>
    <row r="249" spans="1:13" x14ac:dyDescent="0.3">
      <c r="A249" s="1"/>
      <c r="B249" s="1"/>
      <c r="C249" s="1"/>
      <c r="D249" s="1" t="str">
        <f t="shared" si="11"/>
        <v xml:space="preserve">  </v>
      </c>
      <c r="E249" s="1" t="str">
        <f t="shared" si="9"/>
        <v xml:space="preserve">  </v>
      </c>
      <c r="F249" s="1"/>
      <c r="G249" s="1"/>
      <c r="H249" s="1"/>
      <c r="I249" s="1"/>
      <c r="L249">
        <f t="shared" si="10"/>
        <v>0</v>
      </c>
      <c r="M249" s="1"/>
    </row>
    <row r="250" spans="1:13" x14ac:dyDescent="0.3">
      <c r="A250" s="1"/>
      <c r="B250" s="1"/>
      <c r="C250" s="1"/>
      <c r="D250" s="1" t="str">
        <f t="shared" si="11"/>
        <v xml:space="preserve">  </v>
      </c>
      <c r="E250" s="1" t="str">
        <f t="shared" si="9"/>
        <v xml:space="preserve">  </v>
      </c>
      <c r="F250" s="1"/>
      <c r="G250" s="1"/>
      <c r="H250" s="1"/>
      <c r="I250" s="1"/>
      <c r="L250">
        <f t="shared" si="10"/>
        <v>0</v>
      </c>
      <c r="M250" s="1"/>
    </row>
    <row r="251" spans="1:13" x14ac:dyDescent="0.3">
      <c r="A251" s="1"/>
      <c r="B251" s="1"/>
      <c r="C251" s="1"/>
      <c r="D251" s="1" t="str">
        <f t="shared" si="11"/>
        <v xml:space="preserve">  </v>
      </c>
      <c r="E251" s="1" t="str">
        <f t="shared" si="9"/>
        <v xml:space="preserve">  </v>
      </c>
      <c r="F251" s="1"/>
      <c r="G251" s="1"/>
      <c r="H251" s="1"/>
      <c r="I251" s="1"/>
      <c r="L251">
        <f t="shared" si="10"/>
        <v>0</v>
      </c>
      <c r="M251" s="1"/>
    </row>
  </sheetData>
  <phoneticPr fontId="1" type="noConversion"/>
  <conditionalFormatting sqref="J1">
    <cfRule type="cellIs" dxfId="4" priority="1" operator="between">
      <formula>60</formula>
      <formula>70</formula>
    </cfRule>
    <cfRule type="cellIs" dxfId="3" priority="2" operator="between">
      <formula>50</formula>
      <formula>60</formula>
    </cfRule>
    <cfRule type="cellIs" dxfId="2" priority="3" operator="lessThan">
      <formula>60</formula>
    </cfRule>
    <cfRule type="cellIs" dxfId="1" priority="5" operator="greaterThan">
      <formula>90</formula>
    </cfRule>
  </conditionalFormatting>
  <conditionalFormatting sqref="J2:J251">
    <cfRule type="cellIs" dxfId="0" priority="4" operator="greaterThan">
      <formula>70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6F6C-C6B2-4000-A62F-E026ABD94076}">
  <dimension ref="A1:F251"/>
  <sheetViews>
    <sheetView workbookViewId="0">
      <selection activeCell="F2" sqref="F2"/>
    </sheetView>
  </sheetViews>
  <sheetFormatPr defaultRowHeight="14.4" x14ac:dyDescent="0.3"/>
  <cols>
    <col min="1" max="1" width="16.6640625" customWidth="1"/>
    <col min="2" max="2" width="22.33203125" customWidth="1"/>
    <col min="5" max="5" width="12.33203125" customWidth="1"/>
    <col min="6" max="6" width="17.44140625" customWidth="1"/>
  </cols>
  <sheetData>
    <row r="1" spans="1:6" x14ac:dyDescent="0.3">
      <c r="A1" t="s">
        <v>3</v>
      </c>
      <c r="B1" t="s">
        <v>668</v>
      </c>
      <c r="E1" s="2" t="s">
        <v>669</v>
      </c>
      <c r="F1" s="3" t="s">
        <v>668</v>
      </c>
    </row>
    <row r="2" spans="1:6" x14ac:dyDescent="0.3">
      <c r="A2" s="1" t="s">
        <v>13</v>
      </c>
      <c r="B2" t="s">
        <v>670</v>
      </c>
      <c r="E2" t="s">
        <v>121</v>
      </c>
      <c r="F2" t="str">
        <f>VLOOKUP(E2,A2:B208,2,FALSE)</f>
        <v>Matilda Carr Lawson</v>
      </c>
    </row>
    <row r="3" spans="1:6" x14ac:dyDescent="0.3">
      <c r="A3" s="1" t="s">
        <v>21</v>
      </c>
      <c r="B3" t="s">
        <v>671</v>
      </c>
    </row>
    <row r="4" spans="1:6" x14ac:dyDescent="0.3">
      <c r="A4" s="1" t="s">
        <v>27</v>
      </c>
      <c r="B4" t="s">
        <v>672</v>
      </c>
    </row>
    <row r="5" spans="1:6" x14ac:dyDescent="0.3">
      <c r="A5" s="1" t="s">
        <v>32</v>
      </c>
      <c r="B5" t="s">
        <v>673</v>
      </c>
    </row>
    <row r="6" spans="1:6" x14ac:dyDescent="0.3">
      <c r="A6" s="1" t="s">
        <v>37</v>
      </c>
      <c r="B6" t="s">
        <v>674</v>
      </c>
    </row>
    <row r="7" spans="1:6" x14ac:dyDescent="0.3">
      <c r="A7" s="1" t="s">
        <v>42</v>
      </c>
      <c r="B7" t="s">
        <v>675</v>
      </c>
    </row>
    <row r="8" spans="1:6" x14ac:dyDescent="0.3">
      <c r="A8" s="1" t="s">
        <v>47</v>
      </c>
      <c r="B8" t="s">
        <v>676</v>
      </c>
    </row>
    <row r="9" spans="1:6" x14ac:dyDescent="0.3">
      <c r="A9" s="1" t="s">
        <v>52</v>
      </c>
      <c r="B9" t="s">
        <v>677</v>
      </c>
    </row>
    <row r="10" spans="1:6" x14ac:dyDescent="0.3">
      <c r="A10" s="1" t="s">
        <v>57</v>
      </c>
      <c r="B10" t="s">
        <v>678</v>
      </c>
    </row>
    <row r="11" spans="1:6" x14ac:dyDescent="0.3">
      <c r="A11" s="1" t="s">
        <v>62</v>
      </c>
      <c r="B11" t="s">
        <v>679</v>
      </c>
    </row>
    <row r="12" spans="1:6" x14ac:dyDescent="0.3">
      <c r="A12" s="1" t="s">
        <v>67</v>
      </c>
      <c r="B12" t="s">
        <v>680</v>
      </c>
    </row>
    <row r="13" spans="1:6" x14ac:dyDescent="0.3">
      <c r="A13" s="1" t="s">
        <v>72</v>
      </c>
      <c r="B13" t="s">
        <v>681</v>
      </c>
    </row>
    <row r="14" spans="1:6" x14ac:dyDescent="0.3">
      <c r="A14" s="1" t="s">
        <v>77</v>
      </c>
      <c r="B14" t="s">
        <v>682</v>
      </c>
    </row>
    <row r="15" spans="1:6" x14ac:dyDescent="0.3">
      <c r="A15" s="1" t="s">
        <v>82</v>
      </c>
      <c r="B15" t="s">
        <v>683</v>
      </c>
    </row>
    <row r="16" spans="1:6" x14ac:dyDescent="0.3">
      <c r="A16" s="1" t="s">
        <v>87</v>
      </c>
      <c r="B16" t="s">
        <v>684</v>
      </c>
    </row>
    <row r="17" spans="1:2" x14ac:dyDescent="0.3">
      <c r="A17" s="1" t="s">
        <v>92</v>
      </c>
      <c r="B17" t="s">
        <v>685</v>
      </c>
    </row>
    <row r="18" spans="1:2" x14ac:dyDescent="0.3">
      <c r="A18" s="1" t="s">
        <v>97</v>
      </c>
      <c r="B18" t="s">
        <v>686</v>
      </c>
    </row>
    <row r="19" spans="1:2" x14ac:dyDescent="0.3">
      <c r="A19" s="1" t="s">
        <v>102</v>
      </c>
      <c r="B19" t="s">
        <v>687</v>
      </c>
    </row>
    <row r="20" spans="1:2" x14ac:dyDescent="0.3">
      <c r="A20" s="1" t="s">
        <v>107</v>
      </c>
      <c r="B20" t="s">
        <v>688</v>
      </c>
    </row>
    <row r="21" spans="1:2" x14ac:dyDescent="0.3">
      <c r="A21" s="1" t="s">
        <v>112</v>
      </c>
      <c r="B21" t="s">
        <v>689</v>
      </c>
    </row>
    <row r="22" spans="1:2" x14ac:dyDescent="0.3">
      <c r="A22" s="1" t="s">
        <v>116</v>
      </c>
      <c r="B22" t="s">
        <v>690</v>
      </c>
    </row>
    <row r="23" spans="1:2" x14ac:dyDescent="0.3">
      <c r="A23" s="1" t="s">
        <v>121</v>
      </c>
      <c r="B23" t="s">
        <v>691</v>
      </c>
    </row>
    <row r="24" spans="1:2" x14ac:dyDescent="0.3">
      <c r="A24" s="1" t="s">
        <v>125</v>
      </c>
      <c r="B24" t="s">
        <v>692</v>
      </c>
    </row>
    <row r="25" spans="1:2" x14ac:dyDescent="0.3">
      <c r="A25" s="1" t="s">
        <v>129</v>
      </c>
      <c r="B25" t="s">
        <v>693</v>
      </c>
    </row>
    <row r="26" spans="1:2" x14ac:dyDescent="0.3">
      <c r="A26" s="1" t="s">
        <v>132</v>
      </c>
      <c r="B26" t="s">
        <v>694</v>
      </c>
    </row>
    <row r="27" spans="1:2" x14ac:dyDescent="0.3">
      <c r="A27" s="1" t="s">
        <v>135</v>
      </c>
      <c r="B27" t="s">
        <v>695</v>
      </c>
    </row>
    <row r="28" spans="1:2" x14ac:dyDescent="0.3">
      <c r="A28" s="1" t="s">
        <v>140</v>
      </c>
      <c r="B28" t="s">
        <v>696</v>
      </c>
    </row>
    <row r="29" spans="1:2" x14ac:dyDescent="0.3">
      <c r="A29" s="1" t="s">
        <v>144</v>
      </c>
      <c r="B29" t="s">
        <v>697</v>
      </c>
    </row>
    <row r="30" spans="1:2" x14ac:dyDescent="0.3">
      <c r="A30" s="1" t="s">
        <v>148</v>
      </c>
      <c r="B30" t="s">
        <v>698</v>
      </c>
    </row>
    <row r="31" spans="1:2" x14ac:dyDescent="0.3">
      <c r="A31" s="1" t="s">
        <v>152</v>
      </c>
      <c r="B31" t="s">
        <v>699</v>
      </c>
    </row>
    <row r="32" spans="1:2" x14ac:dyDescent="0.3">
      <c r="A32" s="1" t="s">
        <v>155</v>
      </c>
      <c r="B32" t="s">
        <v>700</v>
      </c>
    </row>
    <row r="33" spans="1:2" x14ac:dyDescent="0.3">
      <c r="A33" s="1" t="s">
        <v>160</v>
      </c>
      <c r="B33" t="s">
        <v>701</v>
      </c>
    </row>
    <row r="34" spans="1:2" x14ac:dyDescent="0.3">
      <c r="A34" s="1" t="s">
        <v>163</v>
      </c>
      <c r="B34" t="s">
        <v>702</v>
      </c>
    </row>
    <row r="35" spans="1:2" x14ac:dyDescent="0.3">
      <c r="A35" s="1" t="s">
        <v>167</v>
      </c>
      <c r="B35" t="s">
        <v>703</v>
      </c>
    </row>
    <row r="36" spans="1:2" x14ac:dyDescent="0.3">
      <c r="A36" s="1" t="s">
        <v>171</v>
      </c>
      <c r="B36" t="s">
        <v>704</v>
      </c>
    </row>
    <row r="37" spans="1:2" x14ac:dyDescent="0.3">
      <c r="A37" s="1" t="s">
        <v>175</v>
      </c>
      <c r="B37" t="s">
        <v>705</v>
      </c>
    </row>
    <row r="38" spans="1:2" x14ac:dyDescent="0.3">
      <c r="A38" s="1" t="s">
        <v>180</v>
      </c>
      <c r="B38" t="s">
        <v>706</v>
      </c>
    </row>
    <row r="39" spans="1:2" x14ac:dyDescent="0.3">
      <c r="A39" s="1" t="s">
        <v>184</v>
      </c>
      <c r="B39" t="s">
        <v>707</v>
      </c>
    </row>
    <row r="40" spans="1:2" x14ac:dyDescent="0.3">
      <c r="A40" s="1" t="s">
        <v>189</v>
      </c>
      <c r="B40" t="s">
        <v>708</v>
      </c>
    </row>
    <row r="41" spans="1:2" x14ac:dyDescent="0.3">
      <c r="A41" s="1" t="s">
        <v>193</v>
      </c>
      <c r="B41" t="s">
        <v>709</v>
      </c>
    </row>
    <row r="42" spans="1:2" x14ac:dyDescent="0.3">
      <c r="A42" s="1" t="s">
        <v>197</v>
      </c>
      <c r="B42" t="s">
        <v>710</v>
      </c>
    </row>
    <row r="43" spans="1:2" x14ac:dyDescent="0.3">
      <c r="A43" s="1" t="s">
        <v>200</v>
      </c>
      <c r="B43" t="s">
        <v>711</v>
      </c>
    </row>
    <row r="44" spans="1:2" x14ac:dyDescent="0.3">
      <c r="A44" s="1" t="s">
        <v>205</v>
      </c>
      <c r="B44" t="s">
        <v>712</v>
      </c>
    </row>
    <row r="45" spans="1:2" x14ac:dyDescent="0.3">
      <c r="A45" s="1" t="s">
        <v>209</v>
      </c>
      <c r="B45" t="s">
        <v>713</v>
      </c>
    </row>
    <row r="46" spans="1:2" x14ac:dyDescent="0.3">
      <c r="A46" s="1" t="s">
        <v>213</v>
      </c>
      <c r="B46" t="s">
        <v>714</v>
      </c>
    </row>
    <row r="47" spans="1:2" x14ac:dyDescent="0.3">
      <c r="A47" s="1" t="s">
        <v>218</v>
      </c>
      <c r="B47" t="s">
        <v>715</v>
      </c>
    </row>
    <row r="48" spans="1:2" x14ac:dyDescent="0.3">
      <c r="A48" s="1" t="s">
        <v>221</v>
      </c>
      <c r="B48" t="s">
        <v>716</v>
      </c>
    </row>
    <row r="49" spans="1:2" x14ac:dyDescent="0.3">
      <c r="A49" s="1" t="s">
        <v>224</v>
      </c>
      <c r="B49" t="s">
        <v>717</v>
      </c>
    </row>
    <row r="50" spans="1:2" x14ac:dyDescent="0.3">
      <c r="A50" s="1" t="s">
        <v>226</v>
      </c>
      <c r="B50" t="s">
        <v>718</v>
      </c>
    </row>
    <row r="51" spans="1:2" x14ac:dyDescent="0.3">
      <c r="A51" s="1" t="s">
        <v>229</v>
      </c>
      <c r="B51" t="s">
        <v>719</v>
      </c>
    </row>
    <row r="52" spans="1:2" x14ac:dyDescent="0.3">
      <c r="A52" s="1" t="s">
        <v>232</v>
      </c>
      <c r="B52" t="s">
        <v>720</v>
      </c>
    </row>
    <row r="53" spans="1:2" x14ac:dyDescent="0.3">
      <c r="A53" s="1" t="s">
        <v>235</v>
      </c>
      <c r="B53" t="s">
        <v>721</v>
      </c>
    </row>
    <row r="54" spans="1:2" x14ac:dyDescent="0.3">
      <c r="A54" s="1" t="s">
        <v>238</v>
      </c>
      <c r="B54" t="s">
        <v>722</v>
      </c>
    </row>
    <row r="55" spans="1:2" x14ac:dyDescent="0.3">
      <c r="A55" s="1" t="s">
        <v>241</v>
      </c>
      <c r="B55" t="s">
        <v>723</v>
      </c>
    </row>
    <row r="56" spans="1:2" x14ac:dyDescent="0.3">
      <c r="A56" s="1" t="s">
        <v>244</v>
      </c>
      <c r="B56" t="s">
        <v>724</v>
      </c>
    </row>
    <row r="57" spans="1:2" x14ac:dyDescent="0.3">
      <c r="A57" s="1" t="s">
        <v>247</v>
      </c>
      <c r="B57" t="s">
        <v>725</v>
      </c>
    </row>
    <row r="58" spans="1:2" x14ac:dyDescent="0.3">
      <c r="A58" s="1" t="s">
        <v>251</v>
      </c>
      <c r="B58" t="s">
        <v>726</v>
      </c>
    </row>
    <row r="59" spans="1:2" x14ac:dyDescent="0.3">
      <c r="A59" s="1" t="s">
        <v>255</v>
      </c>
      <c r="B59" t="s">
        <v>727</v>
      </c>
    </row>
    <row r="60" spans="1:2" x14ac:dyDescent="0.3">
      <c r="A60" s="1" t="s">
        <v>258</v>
      </c>
      <c r="B60" t="s">
        <v>728</v>
      </c>
    </row>
    <row r="61" spans="1:2" x14ac:dyDescent="0.3">
      <c r="A61" s="1" t="s">
        <v>262</v>
      </c>
      <c r="B61" t="s">
        <v>729</v>
      </c>
    </row>
    <row r="62" spans="1:2" x14ac:dyDescent="0.3">
      <c r="A62" s="1" t="s">
        <v>265</v>
      </c>
      <c r="B62" t="s">
        <v>730</v>
      </c>
    </row>
    <row r="63" spans="1:2" x14ac:dyDescent="0.3">
      <c r="A63" s="1" t="s">
        <v>268</v>
      </c>
      <c r="B63" t="s">
        <v>731</v>
      </c>
    </row>
    <row r="64" spans="1:2" x14ac:dyDescent="0.3">
      <c r="A64" s="1" t="s">
        <v>272</v>
      </c>
      <c r="B64" t="s">
        <v>732</v>
      </c>
    </row>
    <row r="65" spans="1:2" x14ac:dyDescent="0.3">
      <c r="A65" s="1" t="s">
        <v>276</v>
      </c>
      <c r="B65" t="s">
        <v>733</v>
      </c>
    </row>
    <row r="66" spans="1:2" x14ac:dyDescent="0.3">
      <c r="A66" s="1" t="s">
        <v>279</v>
      </c>
      <c r="B66" t="s">
        <v>734</v>
      </c>
    </row>
    <row r="67" spans="1:2" x14ac:dyDescent="0.3">
      <c r="A67" s="1" t="s">
        <v>283</v>
      </c>
      <c r="B67" t="s">
        <v>735</v>
      </c>
    </row>
    <row r="68" spans="1:2" x14ac:dyDescent="0.3">
      <c r="A68" s="1" t="s">
        <v>286</v>
      </c>
      <c r="B68" t="s">
        <v>736</v>
      </c>
    </row>
    <row r="69" spans="1:2" x14ac:dyDescent="0.3">
      <c r="A69" s="1" t="s">
        <v>289</v>
      </c>
      <c r="B69" t="s">
        <v>737</v>
      </c>
    </row>
    <row r="70" spans="1:2" x14ac:dyDescent="0.3">
      <c r="A70" s="1" t="s">
        <v>292</v>
      </c>
      <c r="B70" t="s">
        <v>738</v>
      </c>
    </row>
    <row r="71" spans="1:2" x14ac:dyDescent="0.3">
      <c r="A71" s="1" t="s">
        <v>295</v>
      </c>
      <c r="B71" t="s">
        <v>739</v>
      </c>
    </row>
    <row r="72" spans="1:2" x14ac:dyDescent="0.3">
      <c r="A72" s="1" t="s">
        <v>298</v>
      </c>
      <c r="B72" t="s">
        <v>740</v>
      </c>
    </row>
    <row r="73" spans="1:2" x14ac:dyDescent="0.3">
      <c r="A73" s="1" t="s">
        <v>301</v>
      </c>
      <c r="B73" t="s">
        <v>741</v>
      </c>
    </row>
    <row r="74" spans="1:2" x14ac:dyDescent="0.3">
      <c r="A74" s="1" t="s">
        <v>304</v>
      </c>
      <c r="B74" t="s">
        <v>742</v>
      </c>
    </row>
    <row r="75" spans="1:2" x14ac:dyDescent="0.3">
      <c r="A75" s="1" t="s">
        <v>307</v>
      </c>
      <c r="B75" t="s">
        <v>743</v>
      </c>
    </row>
    <row r="76" spans="1:2" x14ac:dyDescent="0.3">
      <c r="A76" s="1" t="s">
        <v>311</v>
      </c>
      <c r="B76" t="s">
        <v>744</v>
      </c>
    </row>
    <row r="77" spans="1:2" x14ac:dyDescent="0.3">
      <c r="A77" s="1" t="s">
        <v>314</v>
      </c>
      <c r="B77" t="s">
        <v>745</v>
      </c>
    </row>
    <row r="78" spans="1:2" x14ac:dyDescent="0.3">
      <c r="A78" s="1" t="s">
        <v>316</v>
      </c>
      <c r="B78" t="s">
        <v>746</v>
      </c>
    </row>
    <row r="79" spans="1:2" x14ac:dyDescent="0.3">
      <c r="A79" s="1" t="s">
        <v>319</v>
      </c>
      <c r="B79" t="s">
        <v>747</v>
      </c>
    </row>
    <row r="80" spans="1:2" x14ac:dyDescent="0.3">
      <c r="A80" s="1" t="s">
        <v>322</v>
      </c>
      <c r="B80" t="s">
        <v>748</v>
      </c>
    </row>
    <row r="81" spans="1:2" x14ac:dyDescent="0.3">
      <c r="A81" s="1" t="s">
        <v>325</v>
      </c>
      <c r="B81" t="s">
        <v>749</v>
      </c>
    </row>
    <row r="82" spans="1:2" x14ac:dyDescent="0.3">
      <c r="A82" s="1" t="s">
        <v>328</v>
      </c>
      <c r="B82" t="s">
        <v>750</v>
      </c>
    </row>
    <row r="83" spans="1:2" x14ac:dyDescent="0.3">
      <c r="A83" s="1" t="s">
        <v>331</v>
      </c>
      <c r="B83" t="s">
        <v>751</v>
      </c>
    </row>
    <row r="84" spans="1:2" x14ac:dyDescent="0.3">
      <c r="A84" s="1" t="s">
        <v>334</v>
      </c>
      <c r="B84" t="s">
        <v>752</v>
      </c>
    </row>
    <row r="85" spans="1:2" x14ac:dyDescent="0.3">
      <c r="A85" s="1" t="s">
        <v>337</v>
      </c>
      <c r="B85" t="s">
        <v>753</v>
      </c>
    </row>
    <row r="86" spans="1:2" x14ac:dyDescent="0.3">
      <c r="A86" s="1" t="s">
        <v>340</v>
      </c>
      <c r="B86" t="s">
        <v>754</v>
      </c>
    </row>
    <row r="87" spans="1:2" x14ac:dyDescent="0.3">
      <c r="A87" s="1" t="s">
        <v>343</v>
      </c>
      <c r="B87" t="s">
        <v>755</v>
      </c>
    </row>
    <row r="88" spans="1:2" x14ac:dyDescent="0.3">
      <c r="A88" s="1" t="s">
        <v>346</v>
      </c>
      <c r="B88" t="s">
        <v>756</v>
      </c>
    </row>
    <row r="89" spans="1:2" x14ac:dyDescent="0.3">
      <c r="A89" s="1" t="s">
        <v>349</v>
      </c>
      <c r="B89" t="s">
        <v>757</v>
      </c>
    </row>
    <row r="90" spans="1:2" x14ac:dyDescent="0.3">
      <c r="A90" s="1" t="s">
        <v>352</v>
      </c>
      <c r="B90" t="s">
        <v>758</v>
      </c>
    </row>
    <row r="91" spans="1:2" x14ac:dyDescent="0.3">
      <c r="A91" s="1" t="s">
        <v>355</v>
      </c>
      <c r="B91" t="s">
        <v>759</v>
      </c>
    </row>
    <row r="92" spans="1:2" x14ac:dyDescent="0.3">
      <c r="A92" s="1" t="s">
        <v>358</v>
      </c>
      <c r="B92" t="s">
        <v>760</v>
      </c>
    </row>
    <row r="93" spans="1:2" x14ac:dyDescent="0.3">
      <c r="A93" s="1" t="s">
        <v>361</v>
      </c>
      <c r="B93" t="s">
        <v>761</v>
      </c>
    </row>
    <row r="94" spans="1:2" x14ac:dyDescent="0.3">
      <c r="A94" s="1" t="s">
        <v>364</v>
      </c>
      <c r="B94" t="s">
        <v>762</v>
      </c>
    </row>
    <row r="95" spans="1:2" x14ac:dyDescent="0.3">
      <c r="A95" s="1" t="s">
        <v>367</v>
      </c>
      <c r="B95" t="s">
        <v>763</v>
      </c>
    </row>
    <row r="96" spans="1:2" x14ac:dyDescent="0.3">
      <c r="A96" s="1" t="s">
        <v>371</v>
      </c>
      <c r="B96" t="s">
        <v>764</v>
      </c>
    </row>
    <row r="97" spans="1:2" x14ac:dyDescent="0.3">
      <c r="A97" s="1" t="s">
        <v>374</v>
      </c>
      <c r="B97" t="s">
        <v>765</v>
      </c>
    </row>
    <row r="98" spans="1:2" x14ac:dyDescent="0.3">
      <c r="A98" s="1" t="s">
        <v>377</v>
      </c>
      <c r="B98" t="s">
        <v>766</v>
      </c>
    </row>
    <row r="99" spans="1:2" x14ac:dyDescent="0.3">
      <c r="A99" s="1" t="s">
        <v>380</v>
      </c>
      <c r="B99" t="s">
        <v>767</v>
      </c>
    </row>
    <row r="100" spans="1:2" x14ac:dyDescent="0.3">
      <c r="A100" s="1" t="s">
        <v>383</v>
      </c>
      <c r="B100" t="s">
        <v>768</v>
      </c>
    </row>
    <row r="101" spans="1:2" x14ac:dyDescent="0.3">
      <c r="A101" s="1" t="s">
        <v>385</v>
      </c>
      <c r="B101" t="s">
        <v>769</v>
      </c>
    </row>
    <row r="102" spans="1:2" x14ac:dyDescent="0.3">
      <c r="A102" s="1" t="s">
        <v>388</v>
      </c>
      <c r="B102" t="s">
        <v>770</v>
      </c>
    </row>
    <row r="103" spans="1:2" x14ac:dyDescent="0.3">
      <c r="A103" s="1" t="s">
        <v>391</v>
      </c>
      <c r="B103" t="s">
        <v>771</v>
      </c>
    </row>
    <row r="104" spans="1:2" x14ac:dyDescent="0.3">
      <c r="A104" s="1" t="s">
        <v>394</v>
      </c>
      <c r="B104" t="s">
        <v>772</v>
      </c>
    </row>
    <row r="105" spans="1:2" x14ac:dyDescent="0.3">
      <c r="A105" s="1" t="s">
        <v>397</v>
      </c>
      <c r="B105" t="s">
        <v>773</v>
      </c>
    </row>
    <row r="106" spans="1:2" x14ac:dyDescent="0.3">
      <c r="A106" s="1" t="s">
        <v>400</v>
      </c>
      <c r="B106" t="s">
        <v>774</v>
      </c>
    </row>
    <row r="107" spans="1:2" x14ac:dyDescent="0.3">
      <c r="A107" s="1" t="s">
        <v>403</v>
      </c>
      <c r="B107" t="s">
        <v>775</v>
      </c>
    </row>
    <row r="108" spans="1:2" x14ac:dyDescent="0.3">
      <c r="A108" s="1" t="s">
        <v>406</v>
      </c>
      <c r="B108" t="s">
        <v>776</v>
      </c>
    </row>
    <row r="109" spans="1:2" x14ac:dyDescent="0.3">
      <c r="A109" s="1" t="s">
        <v>408</v>
      </c>
      <c r="B109" t="s">
        <v>777</v>
      </c>
    </row>
    <row r="110" spans="1:2" x14ac:dyDescent="0.3">
      <c r="A110" s="1" t="s">
        <v>410</v>
      </c>
      <c r="B110" t="s">
        <v>778</v>
      </c>
    </row>
    <row r="111" spans="1:2" x14ac:dyDescent="0.3">
      <c r="A111" s="1" t="s">
        <v>412</v>
      </c>
      <c r="B111" t="s">
        <v>779</v>
      </c>
    </row>
    <row r="112" spans="1:2" x14ac:dyDescent="0.3">
      <c r="A112" s="1" t="s">
        <v>414</v>
      </c>
      <c r="B112" t="s">
        <v>780</v>
      </c>
    </row>
    <row r="113" spans="1:2" x14ac:dyDescent="0.3">
      <c r="A113" s="1" t="s">
        <v>417</v>
      </c>
      <c r="B113" t="s">
        <v>781</v>
      </c>
    </row>
    <row r="114" spans="1:2" x14ac:dyDescent="0.3">
      <c r="A114" s="1" t="s">
        <v>421</v>
      </c>
      <c r="B114" t="s">
        <v>782</v>
      </c>
    </row>
    <row r="115" spans="1:2" x14ac:dyDescent="0.3">
      <c r="A115" s="1" t="s">
        <v>424</v>
      </c>
      <c r="B115" t="s">
        <v>783</v>
      </c>
    </row>
    <row r="116" spans="1:2" x14ac:dyDescent="0.3">
      <c r="A116" s="1" t="s">
        <v>427</v>
      </c>
      <c r="B116" t="s">
        <v>784</v>
      </c>
    </row>
    <row r="117" spans="1:2" x14ac:dyDescent="0.3">
      <c r="A117" s="1" t="s">
        <v>429</v>
      </c>
      <c r="B117" t="s">
        <v>785</v>
      </c>
    </row>
    <row r="118" spans="1:2" x14ac:dyDescent="0.3">
      <c r="A118" s="1" t="s">
        <v>432</v>
      </c>
      <c r="B118" t="s">
        <v>786</v>
      </c>
    </row>
    <row r="119" spans="1:2" x14ac:dyDescent="0.3">
      <c r="A119" s="1" t="s">
        <v>435</v>
      </c>
      <c r="B119" t="s">
        <v>787</v>
      </c>
    </row>
    <row r="120" spans="1:2" x14ac:dyDescent="0.3">
      <c r="A120" s="1" t="s">
        <v>437</v>
      </c>
      <c r="B120" t="s">
        <v>788</v>
      </c>
    </row>
    <row r="121" spans="1:2" x14ac:dyDescent="0.3">
      <c r="A121" s="1" t="s">
        <v>439</v>
      </c>
      <c r="B121" t="s">
        <v>789</v>
      </c>
    </row>
    <row r="122" spans="1:2" x14ac:dyDescent="0.3">
      <c r="A122" s="1" t="s">
        <v>441</v>
      </c>
      <c r="B122" t="s">
        <v>790</v>
      </c>
    </row>
    <row r="123" spans="1:2" x14ac:dyDescent="0.3">
      <c r="A123" s="1" t="s">
        <v>443</v>
      </c>
      <c r="B123" t="s">
        <v>791</v>
      </c>
    </row>
    <row r="124" spans="1:2" x14ac:dyDescent="0.3">
      <c r="A124" s="1" t="s">
        <v>445</v>
      </c>
      <c r="B124" t="s">
        <v>792</v>
      </c>
    </row>
    <row r="125" spans="1:2" x14ac:dyDescent="0.3">
      <c r="A125" s="1" t="s">
        <v>447</v>
      </c>
      <c r="B125" t="s">
        <v>793</v>
      </c>
    </row>
    <row r="126" spans="1:2" x14ac:dyDescent="0.3">
      <c r="A126" s="1" t="s">
        <v>449</v>
      </c>
      <c r="B126" t="s">
        <v>794</v>
      </c>
    </row>
    <row r="127" spans="1:2" x14ac:dyDescent="0.3">
      <c r="A127" s="1" t="s">
        <v>451</v>
      </c>
      <c r="B127" t="s">
        <v>795</v>
      </c>
    </row>
    <row r="128" spans="1:2" x14ac:dyDescent="0.3">
      <c r="A128" s="1" t="s">
        <v>453</v>
      </c>
      <c r="B128" t="s">
        <v>796</v>
      </c>
    </row>
    <row r="129" spans="1:2" x14ac:dyDescent="0.3">
      <c r="A129" s="1" t="s">
        <v>455</v>
      </c>
      <c r="B129" t="s">
        <v>797</v>
      </c>
    </row>
    <row r="130" spans="1:2" x14ac:dyDescent="0.3">
      <c r="A130" s="1" t="s">
        <v>457</v>
      </c>
      <c r="B130" t="s">
        <v>798</v>
      </c>
    </row>
    <row r="131" spans="1:2" x14ac:dyDescent="0.3">
      <c r="A131" s="1" t="s">
        <v>459</v>
      </c>
      <c r="B131" t="s">
        <v>799</v>
      </c>
    </row>
    <row r="132" spans="1:2" x14ac:dyDescent="0.3">
      <c r="A132" s="1" t="s">
        <v>461</v>
      </c>
      <c r="B132" t="s">
        <v>800</v>
      </c>
    </row>
    <row r="133" spans="1:2" x14ac:dyDescent="0.3">
      <c r="A133" s="1" t="s">
        <v>463</v>
      </c>
      <c r="B133" t="s">
        <v>801</v>
      </c>
    </row>
    <row r="134" spans="1:2" x14ac:dyDescent="0.3">
      <c r="A134" s="1" t="s">
        <v>465</v>
      </c>
      <c r="B134" t="s">
        <v>802</v>
      </c>
    </row>
    <row r="135" spans="1:2" x14ac:dyDescent="0.3">
      <c r="A135" s="1" t="s">
        <v>467</v>
      </c>
      <c r="B135" t="s">
        <v>803</v>
      </c>
    </row>
    <row r="136" spans="1:2" x14ac:dyDescent="0.3">
      <c r="A136" s="1" t="s">
        <v>469</v>
      </c>
      <c r="B136" t="s">
        <v>804</v>
      </c>
    </row>
    <row r="137" spans="1:2" x14ac:dyDescent="0.3">
      <c r="A137" s="1" t="s">
        <v>471</v>
      </c>
      <c r="B137" t="s">
        <v>805</v>
      </c>
    </row>
    <row r="138" spans="1:2" x14ac:dyDescent="0.3">
      <c r="A138" s="1" t="s">
        <v>473</v>
      </c>
      <c r="B138" t="s">
        <v>806</v>
      </c>
    </row>
    <row r="139" spans="1:2" x14ac:dyDescent="0.3">
      <c r="A139" s="1" t="s">
        <v>476</v>
      </c>
      <c r="B139" t="s">
        <v>807</v>
      </c>
    </row>
    <row r="140" spans="1:2" x14ac:dyDescent="0.3">
      <c r="A140" s="1" t="s">
        <v>479</v>
      </c>
      <c r="B140" t="s">
        <v>808</v>
      </c>
    </row>
    <row r="141" spans="1:2" x14ac:dyDescent="0.3">
      <c r="A141" s="1" t="s">
        <v>481</v>
      </c>
      <c r="B141" t="s">
        <v>809</v>
      </c>
    </row>
    <row r="142" spans="1:2" x14ac:dyDescent="0.3">
      <c r="A142" s="1" t="s">
        <v>483</v>
      </c>
      <c r="B142" t="s">
        <v>810</v>
      </c>
    </row>
    <row r="143" spans="1:2" x14ac:dyDescent="0.3">
      <c r="A143" s="1" t="s">
        <v>485</v>
      </c>
      <c r="B143" t="s">
        <v>811</v>
      </c>
    </row>
    <row r="144" spans="1:2" x14ac:dyDescent="0.3">
      <c r="A144" s="1" t="s">
        <v>487</v>
      </c>
      <c r="B144" t="s">
        <v>812</v>
      </c>
    </row>
    <row r="145" spans="1:2" x14ac:dyDescent="0.3">
      <c r="A145" s="1" t="s">
        <v>489</v>
      </c>
      <c r="B145" t="s">
        <v>813</v>
      </c>
    </row>
    <row r="146" spans="1:2" x14ac:dyDescent="0.3">
      <c r="A146" s="1" t="s">
        <v>491</v>
      </c>
      <c r="B146" t="s">
        <v>814</v>
      </c>
    </row>
    <row r="147" spans="1:2" x14ac:dyDescent="0.3">
      <c r="A147" s="1" t="s">
        <v>494</v>
      </c>
      <c r="B147" t="s">
        <v>815</v>
      </c>
    </row>
    <row r="148" spans="1:2" x14ac:dyDescent="0.3">
      <c r="A148" s="1" t="s">
        <v>497</v>
      </c>
      <c r="B148" t="s">
        <v>816</v>
      </c>
    </row>
    <row r="149" spans="1:2" x14ac:dyDescent="0.3">
      <c r="A149" s="1" t="s">
        <v>499</v>
      </c>
      <c r="B149" t="s">
        <v>817</v>
      </c>
    </row>
    <row r="150" spans="1:2" x14ac:dyDescent="0.3">
      <c r="A150" s="1" t="s">
        <v>501</v>
      </c>
      <c r="B150" t="s">
        <v>818</v>
      </c>
    </row>
    <row r="151" spans="1:2" x14ac:dyDescent="0.3">
      <c r="A151" s="1" t="s">
        <v>504</v>
      </c>
      <c r="B151" t="s">
        <v>819</v>
      </c>
    </row>
    <row r="152" spans="1:2" x14ac:dyDescent="0.3">
      <c r="A152" s="1" t="s">
        <v>506</v>
      </c>
      <c r="B152" t="s">
        <v>820</v>
      </c>
    </row>
    <row r="153" spans="1:2" x14ac:dyDescent="0.3">
      <c r="A153" s="1" t="s">
        <v>508</v>
      </c>
      <c r="B153" t="s">
        <v>782</v>
      </c>
    </row>
    <row r="154" spans="1:2" x14ac:dyDescent="0.3">
      <c r="A154" s="1" t="s">
        <v>510</v>
      </c>
      <c r="B154" t="s">
        <v>821</v>
      </c>
    </row>
    <row r="155" spans="1:2" x14ac:dyDescent="0.3">
      <c r="A155" s="1" t="s">
        <v>512</v>
      </c>
      <c r="B155" t="s">
        <v>784</v>
      </c>
    </row>
    <row r="156" spans="1:2" x14ac:dyDescent="0.3">
      <c r="A156" s="1" t="s">
        <v>514</v>
      </c>
      <c r="B156" t="s">
        <v>786</v>
      </c>
    </row>
    <row r="157" spans="1:2" x14ac:dyDescent="0.3">
      <c r="A157" s="1" t="s">
        <v>516</v>
      </c>
      <c r="B157" t="s">
        <v>822</v>
      </c>
    </row>
    <row r="158" spans="1:2" x14ac:dyDescent="0.3">
      <c r="A158" s="1" t="s">
        <v>518</v>
      </c>
      <c r="B158" t="s">
        <v>823</v>
      </c>
    </row>
    <row r="159" spans="1:2" x14ac:dyDescent="0.3">
      <c r="A159" s="1" t="s">
        <v>520</v>
      </c>
      <c r="B159" t="s">
        <v>824</v>
      </c>
    </row>
    <row r="160" spans="1:2" x14ac:dyDescent="0.3">
      <c r="A160" s="1" t="s">
        <v>522</v>
      </c>
      <c r="B160" t="s">
        <v>825</v>
      </c>
    </row>
    <row r="161" spans="1:2" x14ac:dyDescent="0.3">
      <c r="A161" s="1" t="s">
        <v>524</v>
      </c>
      <c r="B161" t="s">
        <v>826</v>
      </c>
    </row>
    <row r="162" spans="1:2" x14ac:dyDescent="0.3">
      <c r="A162" s="1" t="s">
        <v>526</v>
      </c>
      <c r="B162" t="s">
        <v>827</v>
      </c>
    </row>
    <row r="163" spans="1:2" x14ac:dyDescent="0.3">
      <c r="A163" s="1" t="s">
        <v>528</v>
      </c>
      <c r="B163" t="s">
        <v>789</v>
      </c>
    </row>
    <row r="164" spans="1:2" x14ac:dyDescent="0.3">
      <c r="A164" s="1" t="s">
        <v>530</v>
      </c>
      <c r="B164" t="s">
        <v>828</v>
      </c>
    </row>
    <row r="165" spans="1:2" x14ac:dyDescent="0.3">
      <c r="A165" s="1" t="s">
        <v>532</v>
      </c>
      <c r="B165" t="s">
        <v>829</v>
      </c>
    </row>
    <row r="166" spans="1:2" x14ac:dyDescent="0.3">
      <c r="A166" s="1" t="s">
        <v>534</v>
      </c>
      <c r="B166" t="s">
        <v>830</v>
      </c>
    </row>
    <row r="167" spans="1:2" x14ac:dyDescent="0.3">
      <c r="A167" s="1" t="s">
        <v>536</v>
      </c>
      <c r="B167" t="s">
        <v>831</v>
      </c>
    </row>
    <row r="168" spans="1:2" x14ac:dyDescent="0.3">
      <c r="A168" s="1" t="s">
        <v>538</v>
      </c>
      <c r="B168" t="s">
        <v>832</v>
      </c>
    </row>
    <row r="169" spans="1:2" x14ac:dyDescent="0.3">
      <c r="A169" s="1" t="s">
        <v>540</v>
      </c>
      <c r="B169" t="s">
        <v>833</v>
      </c>
    </row>
    <row r="170" spans="1:2" x14ac:dyDescent="0.3">
      <c r="A170" s="1" t="s">
        <v>542</v>
      </c>
      <c r="B170" t="s">
        <v>834</v>
      </c>
    </row>
    <row r="171" spans="1:2" x14ac:dyDescent="0.3">
      <c r="A171" s="1" t="s">
        <v>544</v>
      </c>
      <c r="B171" t="s">
        <v>835</v>
      </c>
    </row>
    <row r="172" spans="1:2" x14ac:dyDescent="0.3">
      <c r="A172" s="1" t="s">
        <v>546</v>
      </c>
      <c r="B172" t="s">
        <v>836</v>
      </c>
    </row>
    <row r="173" spans="1:2" x14ac:dyDescent="0.3">
      <c r="A173" s="1" t="s">
        <v>548</v>
      </c>
      <c r="B173" t="s">
        <v>837</v>
      </c>
    </row>
    <row r="174" spans="1:2" x14ac:dyDescent="0.3">
      <c r="A174" s="1" t="s">
        <v>552</v>
      </c>
      <c r="B174" t="s">
        <v>838</v>
      </c>
    </row>
    <row r="175" spans="1:2" x14ac:dyDescent="0.3">
      <c r="A175" s="1" t="s">
        <v>556</v>
      </c>
      <c r="B175" t="s">
        <v>839</v>
      </c>
    </row>
    <row r="176" spans="1:2" x14ac:dyDescent="0.3">
      <c r="A176" s="1" t="s">
        <v>560</v>
      </c>
      <c r="B176" t="s">
        <v>840</v>
      </c>
    </row>
    <row r="177" spans="1:2" x14ac:dyDescent="0.3">
      <c r="A177" s="1" t="s">
        <v>564</v>
      </c>
      <c r="B177" t="s">
        <v>841</v>
      </c>
    </row>
    <row r="178" spans="1:2" x14ac:dyDescent="0.3">
      <c r="A178" s="1" t="s">
        <v>568</v>
      </c>
      <c r="B178" t="s">
        <v>842</v>
      </c>
    </row>
    <row r="179" spans="1:2" x14ac:dyDescent="0.3">
      <c r="A179" s="1" t="s">
        <v>572</v>
      </c>
      <c r="B179" t="s">
        <v>843</v>
      </c>
    </row>
    <row r="180" spans="1:2" x14ac:dyDescent="0.3">
      <c r="A180" s="1" t="s">
        <v>576</v>
      </c>
      <c r="B180" t="s">
        <v>844</v>
      </c>
    </row>
    <row r="181" spans="1:2" x14ac:dyDescent="0.3">
      <c r="A181" s="1" t="s">
        <v>580</v>
      </c>
      <c r="B181" t="s">
        <v>845</v>
      </c>
    </row>
    <row r="182" spans="1:2" x14ac:dyDescent="0.3">
      <c r="A182" s="1" t="s">
        <v>584</v>
      </c>
      <c r="B182" t="s">
        <v>846</v>
      </c>
    </row>
    <row r="183" spans="1:2" x14ac:dyDescent="0.3">
      <c r="A183" s="1" t="s">
        <v>588</v>
      </c>
      <c r="B183" t="s">
        <v>847</v>
      </c>
    </row>
    <row r="184" spans="1:2" x14ac:dyDescent="0.3">
      <c r="A184" s="1" t="s">
        <v>592</v>
      </c>
      <c r="B184" t="s">
        <v>848</v>
      </c>
    </row>
    <row r="185" spans="1:2" x14ac:dyDescent="0.3">
      <c r="A185" s="1" t="s">
        <v>596</v>
      </c>
      <c r="B185" t="s">
        <v>849</v>
      </c>
    </row>
    <row r="186" spans="1:2" x14ac:dyDescent="0.3">
      <c r="A186" s="1" t="s">
        <v>600</v>
      </c>
      <c r="B186" t="s">
        <v>850</v>
      </c>
    </row>
    <row r="187" spans="1:2" x14ac:dyDescent="0.3">
      <c r="A187" s="1" t="s">
        <v>603</v>
      </c>
      <c r="B187" t="s">
        <v>851</v>
      </c>
    </row>
    <row r="188" spans="1:2" x14ac:dyDescent="0.3">
      <c r="A188" s="1" t="s">
        <v>607</v>
      </c>
      <c r="B188" t="s">
        <v>852</v>
      </c>
    </row>
    <row r="189" spans="1:2" x14ac:dyDescent="0.3">
      <c r="A189" s="1" t="s">
        <v>611</v>
      </c>
      <c r="B189" t="s">
        <v>853</v>
      </c>
    </row>
    <row r="190" spans="1:2" x14ac:dyDescent="0.3">
      <c r="A190" s="1" t="s">
        <v>615</v>
      </c>
      <c r="B190" t="s">
        <v>854</v>
      </c>
    </row>
    <row r="191" spans="1:2" x14ac:dyDescent="0.3">
      <c r="A191" s="1" t="s">
        <v>619</v>
      </c>
      <c r="B191" t="s">
        <v>855</v>
      </c>
    </row>
    <row r="192" spans="1:2" x14ac:dyDescent="0.3">
      <c r="A192" s="1" t="s">
        <v>623</v>
      </c>
      <c r="B192" t="s">
        <v>856</v>
      </c>
    </row>
    <row r="193" spans="1:2" x14ac:dyDescent="0.3">
      <c r="A193" s="1" t="s">
        <v>627</v>
      </c>
      <c r="B193" t="s">
        <v>857</v>
      </c>
    </row>
    <row r="194" spans="1:2" x14ac:dyDescent="0.3">
      <c r="A194" s="1" t="s">
        <v>631</v>
      </c>
      <c r="B194" t="s">
        <v>858</v>
      </c>
    </row>
    <row r="195" spans="1:2" x14ac:dyDescent="0.3">
      <c r="A195" s="1" t="s">
        <v>634</v>
      </c>
      <c r="B195" t="s">
        <v>859</v>
      </c>
    </row>
    <row r="196" spans="1:2" x14ac:dyDescent="0.3">
      <c r="A196" s="1" t="s">
        <v>637</v>
      </c>
      <c r="B196" t="s">
        <v>860</v>
      </c>
    </row>
    <row r="197" spans="1:2" x14ac:dyDescent="0.3">
      <c r="A197" s="1" t="s">
        <v>640</v>
      </c>
      <c r="B197" t="s">
        <v>861</v>
      </c>
    </row>
    <row r="198" spans="1:2" x14ac:dyDescent="0.3">
      <c r="A198" s="1" t="s">
        <v>643</v>
      </c>
      <c r="B198" t="s">
        <v>862</v>
      </c>
    </row>
    <row r="199" spans="1:2" x14ac:dyDescent="0.3">
      <c r="A199" s="1" t="s">
        <v>646</v>
      </c>
      <c r="B199" t="s">
        <v>863</v>
      </c>
    </row>
    <row r="200" spans="1:2" x14ac:dyDescent="0.3">
      <c r="A200" s="1" t="s">
        <v>649</v>
      </c>
      <c r="B200" t="s">
        <v>864</v>
      </c>
    </row>
    <row r="201" spans="1:2" x14ac:dyDescent="0.3">
      <c r="A201" s="1" t="s">
        <v>652</v>
      </c>
      <c r="B201" t="s">
        <v>865</v>
      </c>
    </row>
    <row r="202" spans="1:2" x14ac:dyDescent="0.3">
      <c r="A202" s="1" t="s">
        <v>654</v>
      </c>
      <c r="B202" t="s">
        <v>866</v>
      </c>
    </row>
    <row r="203" spans="1:2" x14ac:dyDescent="0.3">
      <c r="A203" s="1" t="s">
        <v>656</v>
      </c>
      <c r="B203" t="s">
        <v>867</v>
      </c>
    </row>
    <row r="204" spans="1:2" x14ac:dyDescent="0.3">
      <c r="A204" s="1" t="s">
        <v>658</v>
      </c>
      <c r="B204" t="s">
        <v>868</v>
      </c>
    </row>
    <row r="205" spans="1:2" x14ac:dyDescent="0.3">
      <c r="A205" s="1" t="s">
        <v>660</v>
      </c>
      <c r="B205" t="s">
        <v>869</v>
      </c>
    </row>
    <row r="206" spans="1:2" x14ac:dyDescent="0.3">
      <c r="A206" s="1" t="s">
        <v>662</v>
      </c>
      <c r="B206" t="s">
        <v>870</v>
      </c>
    </row>
    <row r="207" spans="1:2" x14ac:dyDescent="0.3">
      <c r="A207" s="1" t="s">
        <v>664</v>
      </c>
      <c r="B207" t="s">
        <v>871</v>
      </c>
    </row>
    <row r="208" spans="1:2" x14ac:dyDescent="0.3">
      <c r="A208" s="1" t="s">
        <v>666</v>
      </c>
      <c r="B208" t="s">
        <v>872</v>
      </c>
    </row>
    <row r="209" spans="1:2" x14ac:dyDescent="0.3">
      <c r="A209" s="1"/>
      <c r="B209" t="s">
        <v>873</v>
      </c>
    </row>
    <row r="210" spans="1:2" x14ac:dyDescent="0.3">
      <c r="A210" s="1"/>
      <c r="B210" t="s">
        <v>873</v>
      </c>
    </row>
    <row r="211" spans="1:2" x14ac:dyDescent="0.3">
      <c r="A211" s="1"/>
      <c r="B211" t="s">
        <v>873</v>
      </c>
    </row>
    <row r="212" spans="1:2" x14ac:dyDescent="0.3">
      <c r="A212" s="1"/>
      <c r="B212" t="s">
        <v>873</v>
      </c>
    </row>
    <row r="213" spans="1:2" x14ac:dyDescent="0.3">
      <c r="A213" s="1"/>
      <c r="B213" t="s">
        <v>873</v>
      </c>
    </row>
    <row r="214" spans="1:2" x14ac:dyDescent="0.3">
      <c r="A214" s="1"/>
      <c r="B214" t="s">
        <v>873</v>
      </c>
    </row>
    <row r="215" spans="1:2" x14ac:dyDescent="0.3">
      <c r="A215" s="1"/>
      <c r="B215" t="s">
        <v>873</v>
      </c>
    </row>
    <row r="216" spans="1:2" x14ac:dyDescent="0.3">
      <c r="A216" s="1"/>
      <c r="B216" t="s">
        <v>873</v>
      </c>
    </row>
    <row r="217" spans="1:2" x14ac:dyDescent="0.3">
      <c r="A217" s="1"/>
      <c r="B217" t="s">
        <v>873</v>
      </c>
    </row>
    <row r="218" spans="1:2" x14ac:dyDescent="0.3">
      <c r="A218" s="1"/>
      <c r="B218" t="s">
        <v>873</v>
      </c>
    </row>
    <row r="219" spans="1:2" x14ac:dyDescent="0.3">
      <c r="A219" s="1"/>
      <c r="B219" t="s">
        <v>873</v>
      </c>
    </row>
    <row r="220" spans="1:2" x14ac:dyDescent="0.3">
      <c r="A220" s="1"/>
      <c r="B220" t="s">
        <v>873</v>
      </c>
    </row>
    <row r="221" spans="1:2" x14ac:dyDescent="0.3">
      <c r="A221" s="1"/>
      <c r="B221" t="s">
        <v>873</v>
      </c>
    </row>
    <row r="222" spans="1:2" x14ac:dyDescent="0.3">
      <c r="A222" s="1"/>
      <c r="B222" t="s">
        <v>873</v>
      </c>
    </row>
    <row r="223" spans="1:2" x14ac:dyDescent="0.3">
      <c r="A223" s="1"/>
      <c r="B223" t="s">
        <v>873</v>
      </c>
    </row>
    <row r="224" spans="1:2" x14ac:dyDescent="0.3">
      <c r="A224" s="1"/>
      <c r="B224" t="s">
        <v>873</v>
      </c>
    </row>
    <row r="225" spans="1:2" x14ac:dyDescent="0.3">
      <c r="A225" s="1"/>
      <c r="B225" t="s">
        <v>873</v>
      </c>
    </row>
    <row r="226" spans="1:2" x14ac:dyDescent="0.3">
      <c r="A226" s="1"/>
      <c r="B226" t="s">
        <v>873</v>
      </c>
    </row>
    <row r="227" spans="1:2" x14ac:dyDescent="0.3">
      <c r="A227" s="1"/>
      <c r="B227" t="s">
        <v>873</v>
      </c>
    </row>
    <row r="228" spans="1:2" x14ac:dyDescent="0.3">
      <c r="A228" s="1"/>
      <c r="B228" t="s">
        <v>873</v>
      </c>
    </row>
    <row r="229" spans="1:2" x14ac:dyDescent="0.3">
      <c r="A229" s="1"/>
      <c r="B229" t="s">
        <v>873</v>
      </c>
    </row>
    <row r="230" spans="1:2" x14ac:dyDescent="0.3">
      <c r="A230" s="1"/>
      <c r="B230" t="s">
        <v>873</v>
      </c>
    </row>
    <row r="231" spans="1:2" x14ac:dyDescent="0.3">
      <c r="A231" s="1"/>
      <c r="B231" t="s">
        <v>873</v>
      </c>
    </row>
    <row r="232" spans="1:2" x14ac:dyDescent="0.3">
      <c r="A232" s="1"/>
      <c r="B232" t="s">
        <v>873</v>
      </c>
    </row>
    <row r="233" spans="1:2" x14ac:dyDescent="0.3">
      <c r="A233" s="1"/>
      <c r="B233" t="s">
        <v>873</v>
      </c>
    </row>
    <row r="234" spans="1:2" x14ac:dyDescent="0.3">
      <c r="A234" s="1"/>
      <c r="B234" t="s">
        <v>873</v>
      </c>
    </row>
    <row r="235" spans="1:2" x14ac:dyDescent="0.3">
      <c r="A235" s="1"/>
      <c r="B235" t="s">
        <v>873</v>
      </c>
    </row>
    <row r="236" spans="1:2" x14ac:dyDescent="0.3">
      <c r="A236" s="1"/>
      <c r="B236" t="s">
        <v>873</v>
      </c>
    </row>
    <row r="237" spans="1:2" x14ac:dyDescent="0.3">
      <c r="A237" s="1"/>
      <c r="B237" t="s">
        <v>873</v>
      </c>
    </row>
    <row r="238" spans="1:2" x14ac:dyDescent="0.3">
      <c r="A238" s="1"/>
      <c r="B238" t="s">
        <v>873</v>
      </c>
    </row>
    <row r="239" spans="1:2" x14ac:dyDescent="0.3">
      <c r="A239" s="1"/>
      <c r="B239" t="s">
        <v>873</v>
      </c>
    </row>
    <row r="240" spans="1:2" x14ac:dyDescent="0.3">
      <c r="A240" s="1"/>
      <c r="B240" t="s">
        <v>873</v>
      </c>
    </row>
    <row r="241" spans="1:2" x14ac:dyDescent="0.3">
      <c r="A241" s="1"/>
      <c r="B241" t="s">
        <v>873</v>
      </c>
    </row>
    <row r="242" spans="1:2" x14ac:dyDescent="0.3">
      <c r="A242" s="1"/>
      <c r="B242" t="s">
        <v>873</v>
      </c>
    </row>
    <row r="243" spans="1:2" x14ac:dyDescent="0.3">
      <c r="A243" s="1"/>
      <c r="B243" t="s">
        <v>873</v>
      </c>
    </row>
    <row r="244" spans="1:2" x14ac:dyDescent="0.3">
      <c r="A244" s="1"/>
      <c r="B244" t="s">
        <v>873</v>
      </c>
    </row>
    <row r="245" spans="1:2" x14ac:dyDescent="0.3">
      <c r="A245" s="1"/>
      <c r="B245" t="s">
        <v>873</v>
      </c>
    </row>
    <row r="246" spans="1:2" x14ac:dyDescent="0.3">
      <c r="A246" s="1"/>
      <c r="B246" t="s">
        <v>873</v>
      </c>
    </row>
    <row r="247" spans="1:2" x14ac:dyDescent="0.3">
      <c r="A247" s="1"/>
      <c r="B247" t="s">
        <v>873</v>
      </c>
    </row>
    <row r="248" spans="1:2" x14ac:dyDescent="0.3">
      <c r="A248" s="1"/>
      <c r="B248" t="s">
        <v>873</v>
      </c>
    </row>
    <row r="249" spans="1:2" x14ac:dyDescent="0.3">
      <c r="A249" s="1"/>
      <c r="B249" t="s">
        <v>873</v>
      </c>
    </row>
    <row r="250" spans="1:2" x14ac:dyDescent="0.3">
      <c r="A250" s="1"/>
      <c r="B250" t="s">
        <v>873</v>
      </c>
    </row>
    <row r="251" spans="1:2" x14ac:dyDescent="0.3">
      <c r="A251" s="1"/>
      <c r="B251" t="s">
        <v>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A596A-DF96-4973-8A1A-1D886630F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sammour</dc:creator>
  <cp:lastModifiedBy>sura sammour</cp:lastModifiedBy>
  <dcterms:created xsi:type="dcterms:W3CDTF">2026-01-12T22:53:01Z</dcterms:created>
  <dcterms:modified xsi:type="dcterms:W3CDTF">2026-01-13T11:02:43Z</dcterms:modified>
</cp:coreProperties>
</file>